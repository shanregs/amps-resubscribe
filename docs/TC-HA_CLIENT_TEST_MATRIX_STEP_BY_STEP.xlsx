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nm\Downloads\"/>
    </mc:Choice>
  </mc:AlternateContent>
  <xr:revisionPtr revIDLastSave="0" documentId="11_FF171EDC83EBD493B7FC43B458E98A5847124AE4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HA Test Scenarios" sheetId="1" r:id="rId1"/>
    <sheet name="Test Case Summary" sheetId="2" r:id="rId2"/>
    <sheet name="Environment" sheetId="3" r:id="rId3"/>
    <sheet name="Legend" sheetId="4" r:id="rId4"/>
  </sheets>
  <definedNames>
    <definedName name="_xlnm._FilterDatabase" localSheetId="0" hidden="1">'HA Test Scenarios'!$A$1:$K$86</definedName>
    <definedName name="_xlnm._FilterDatabase" localSheetId="1" hidden="1">'Test Case Summary'!$A$1:$H$17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22" i="2"/>
  <c r="B21" i="2"/>
</calcChain>
</file>

<file path=xl/sharedStrings.xml><?xml version="1.0" encoding="utf-8"?>
<sst xmlns="http://schemas.openxmlformats.org/spreadsheetml/2006/main" count="405" uniqueCount="314">
  <si>
    <t>TC ID</t>
  </si>
  <si>
    <t>Scenario</t>
  </si>
  <si>
    <t>Objective</t>
  </si>
  <si>
    <t>Priority</t>
  </si>
  <si>
    <t>Preconditions</t>
  </si>
  <si>
    <t>Step No</t>
  </si>
  <si>
    <t>Action (exact command / operation)</t>
  </si>
  <si>
    <t>Expected Result</t>
  </si>
  <si>
    <t>Pass/Fail</t>
  </si>
  <si>
    <t>Actual Result / Evidence</t>
  </si>
  <si>
    <t>Notes</t>
  </si>
  <si>
    <t>TC-001</t>
  </si>
  <si>
    <t>Initial Connection to PRIMARY</t>
  </si>
  <si>
    <t>Verify the Spring Boot HAClient establishes its initial connection to PRIMARY and creates all four queue subscriptions correctly.</t>
  </si>
  <si>
    <t>High</t>
  </si>
  <si>
    <t>amps-config-primary.xml and amps-config-secondary.xml deployed; ports 9007/9017/8085/8185 free on 172.21.12.69; application.yaml has both HAClient URIs configured.</t>
  </si>
  <si>
    <t>Start PRIMARY: /home/shan/app-env/scripts/start-primary.sh</t>
  </si>
  <si>
    <t>Process starts; amps.log shows: "Instance 'amps-queue-concurrency-primary' started, listening on tcp://0.0.0.0:9007"</t>
  </si>
  <si>
    <t>Verify PRIMARY admin UI: curl -s -o /dev/null -w "%{http_code}\n" http://172.21.12.69:8085</t>
  </si>
  <si>
    <t>HTTP 200 returned</t>
  </si>
  <si>
    <t>Start SECONDARY: /home/shan/app-env/scripts/start-secondary.sh</t>
  </si>
  <si>
    <t>Process starts cleanly on 9017; no port-conflict errors with PRIMARY</t>
  </si>
  <si>
    <t>Verify SECONDARY admin UI: curl -s -o /dev/null -w "%{http_code}\n" http://172.21.12.69:8185</t>
  </si>
  <si>
    <t>Start the Spring Boot application (jar or mvn spring-boot:run)</t>
  </si>
  <si>
    <t>Application context starts with no exceptions; ampsHaClient bean initializes</t>
  </si>
  <si>
    <t>Inspect application log for the connection line</t>
  </si>
  <si>
    <t>Log shows: "Connected to tcp://172.21.12.69:9007"</t>
  </si>
  <si>
    <t>Inspect application log for logon confirmation</t>
  </si>
  <si>
    <t>Log shows: "Logon successful, client name=trades-service"</t>
  </si>
  <si>
    <t>Inspect application log for all four subscriptions</t>
  </si>
  <si>
    <t>Log shows "Subscription established: queue=/queue/trades" and equivalents for /queue/orders, /queue/risk, /queue/test-trades</t>
  </si>
  <si>
    <t>Open PRIMARY admin UI (8085) -&gt; Connected Clients panel</t>
  </si>
  <si>
    <t>Client "trades-service" listed, with 4 active subscriptions shown</t>
  </si>
  <si>
    <t>TC-002</t>
  </si>
  <si>
    <t>Primary Failure -&gt; Failover to Secondary</t>
  </si>
  <si>
    <t>Verify the HAClient detects PRIMARY going down, reconnects to SECONDARY, and resubscribes automatically with zero application restart.</t>
  </si>
  <si>
    <t>TC-001 passed; both servers running; app connected to PRIMARY with all 4 subscriptions active.</t>
  </si>
  <si>
    <t>Publish 5 test messages to /queue/trades via a test publisher</t>
  </si>
  <si>
    <t>All 5 accepted (ACK'd); subscriber log shows 5 receives on PRIMARY</t>
  </si>
  <si>
    <t>Note PRIMARY's PID: pgrep -fal amps-config-primary.xml</t>
  </si>
  <si>
    <t>PID captured for reference in TC-003</t>
  </si>
  <si>
    <t>Stop PRIMARY: /home/shan/app-env/scripts/stop-primary.sh</t>
  </si>
  <si>
    <t>Process terminates; port 9007 refuses new connections</t>
  </si>
  <si>
    <t>Observe application log within 5s of stopping PRIMARY</t>
  </si>
  <si>
    <t>Log shows: "WARN Connection lost: tcp://172.21.12.69:9007"</t>
  </si>
  <si>
    <t>Observe reconnect attempts in application log</t>
  </si>
  <si>
    <t>Log shows increasing backoff: "Attempting reconnect (attempt 1, delay=200ms)", then attempt 2 at 400ms, etc.</t>
  </si>
  <si>
    <t>Wait for reconnect to complete (should be within a few seconds given ExponentialDelayStrategy ceiling of 5000ms)</t>
  </si>
  <si>
    <t>Log shows: "INFO Connected to tcp://172.21.12.69:9017"</t>
  </si>
  <si>
    <t>Observe resubscribe sequence</t>
  </si>
  <si>
    <t>Log shows "Resubscribing existing subscriptions" followed by "Subscription successful: queue=/queue/trades (resumed from bookmark=N)" for all 4 queues</t>
  </si>
  <si>
    <t>Publish 3 more messages to /queue/trades</t>
  </si>
  <si>
    <t>All 3 received by the subscriber via SECONDARY with no manual intervention</t>
  </si>
  <si>
    <t>Open SECONDARY admin UI (8185) -&gt; Connected Clients panel</t>
  </si>
  <si>
    <t>Client "trades-service" listed with 4 active subscriptions</t>
  </si>
  <si>
    <t>TC-003</t>
  </si>
  <si>
    <t>Primary Recovery / Failback Policy</t>
  </si>
  <si>
    <t>Verify correct, documented behavior when PRIMARY returns while the client is on SECONDARY: confirm whether the client stays or fails back per the ServerChooser policy.</t>
  </si>
  <si>
    <t>TC-002 completed; client currently connected to SECONDARY.</t>
  </si>
  <si>
    <t>PRIMARY comes up clean; port 9007 listening; admin UI 8085 returns 200</t>
  </si>
  <si>
    <t>Wait 15s, observe application log</t>
  </si>
  <si>
    <t>DefaultServerChooser does NOT proactively migrate off a healthy connection; client remains on SECONDARY (9017) — confirm this matches intended design</t>
  </si>
  <si>
    <t>Stop SECONDARY: /home/shan/app-env/scripts/stop-secondary.sh</t>
  </si>
  <si>
    <t>Log shows: "Connection lost: tcp://172.21.12.69:9017"</t>
  </si>
  <si>
    <t>Observe reconnect wraps to next chooser entry</t>
  </si>
  <si>
    <t>Log shows: "Connected to tcp://172.21.12.69:9007" (back on PRIMARY)</t>
  </si>
  <si>
    <t>Observe resubscribe on PRIMARY</t>
  </si>
  <si>
    <t>Log shows "Subscription successful: queue=/queue/trades (resumed from bookmark=N)"; note any bookmark gap if messages were only ever sent to SECONDARY (no replication configured)</t>
  </si>
  <si>
    <t>Restart SECONDARY for subsequent tests: /home/shan/app-env/scripts/start-secondary.sh</t>
  </si>
  <si>
    <t>SECONDARY available again; admin UI 8185 returns 200</t>
  </si>
  <si>
    <t>TC-004</t>
  </si>
  <si>
    <t>Secondary Failure While on PRIMARY</t>
  </si>
  <si>
    <t>Confirm SECONDARY being down has zero observable impact while the client is actively and stably connected to PRIMARY.</t>
  </si>
  <si>
    <t>Medium</t>
  </si>
  <si>
    <t>App connected and stable on PRIMARY (9007); SECONDARY running.</t>
  </si>
  <si>
    <t>Confirm current connection target via app log / PRIMARY admin UI</t>
  </si>
  <si>
    <t>Client shown connected to PRIMARY (9007)</t>
  </si>
  <si>
    <t>SECONDARY log shows clean shutdown; PRIMARY log shows no related entries</t>
  </si>
  <si>
    <t>Publish 5 messages to /queue/orders</t>
  </si>
  <si>
    <t>All 5 processed normally; zero WARN/ERROR lines in application log</t>
  </si>
  <si>
    <t>Continuously consume from /queue/risk for 30s</t>
  </si>
  <si>
    <t>No reconnect attempts logged; steady-state consumption, no interruption</t>
  </si>
  <si>
    <t>Restart SECONDARY: /home/shan/app-env/scripts/start-secondary.sh</t>
  </si>
  <si>
    <t>SECONDARY returns to service with no effect on the already-stable PRIMARY connection</t>
  </si>
  <si>
    <t>TC-005</t>
  </si>
  <si>
    <t>Both Servers Down -&gt; Retry Loop</t>
  </si>
  <si>
    <t>Verify the app retries indefinitely (maxRetryCount=-1) and self-heals the moment either server becomes reachable again, with no manual app restart.</t>
  </si>
  <si>
    <t>App running and connected (either node).</t>
  </si>
  <si>
    <t>Connection-lost detected; reconnect attempts begin toward SECONDARY</t>
  </si>
  <si>
    <t>Immediately stop SECONDARY too: /home/shan/app-env/scripts/stop-secondary.sh (before failover completes)</t>
  </si>
  <si>
    <t>Reconnect attempt to SECONDARY also fails; log shows repeated WARN reconnect attempts cycling PRIMARY -&gt; SECONDARY -&gt; PRIMARY with backoff capped at 5000ms</t>
  </si>
  <si>
    <t>Let the retry loop run for 60s</t>
  </si>
  <si>
    <t>No unhandled exception, no app crash; process stays alive; CPU stays low (confirms backoff, not a busy-loop)</t>
  </si>
  <si>
    <t>Start SECONDARY only: /home/shan/app-env/scripts/start-secondary.sh</t>
  </si>
  <si>
    <t>Within one backoff cycle (&lt;=5s) log shows "Connected to tcp://172.21.12.69:9017" and successful resubscribe</t>
  </si>
  <si>
    <t>PRIMARY reachable; record actual observed chooser behavior (stays on SECONDARY vs. fails back)</t>
  </si>
  <si>
    <t>TC-006</t>
  </si>
  <si>
    <t>Repeated Failover Stability / Resource Leak Check</t>
  </si>
  <si>
    <t>Verify no memory, thread, or subscription leak accumulates across repeated failover cycles.</t>
  </si>
  <si>
    <t>App running; Spring Actuator metrics endpoints enabled.</t>
  </si>
  <si>
    <t>Record baseline via GET /actuator/metrics/jvm.memory.used and /actuator/metrics/jvm.threads.live</t>
  </si>
  <si>
    <t>Baseline heap usage and live thread count recorded</t>
  </si>
  <si>
    <t>Cycle: stop-primary.sh, wait 5s, start-primary.sh, wait 5s -- repeat 5 times</t>
  </si>
  <si>
    <t>Each cycle logs a successful reconnect + resubscribe sequence; no errors</t>
  </si>
  <si>
    <t>Cycle: stop-secondary.sh, wait 5s, start-secondary.sh, wait 5s -- repeat 5 times</t>
  </si>
  <si>
    <t>Same as above for SECONDARY-side cycling</t>
  </si>
  <si>
    <t>Re-check jvm.memory.used and jvm.threads.live after 10 total cycles</t>
  </si>
  <si>
    <t>Values within ~10% of baseline; no unbounded growth, no orphaned reconnect threads</t>
  </si>
  <si>
    <t>Confirm subscription count via admin UI on whichever node is currently active</t>
  </si>
  <si>
    <t>Exactly 4 active subscriptions (not 8+), confirming old subscriptions are torn down each reconnect rather than stacking</t>
  </si>
  <si>
    <t>TC-007</t>
  </si>
  <si>
    <t>Resubscribe Verification Per Queue</t>
  </si>
  <si>
    <t>Confirm all four queues resubscribe correctly and independently after failover, not just /queue/trades.</t>
  </si>
  <si>
    <t>App connected to PRIMARY, subscribed to all 4 queues.</t>
  </si>
  <si>
    <t>Connection-lost detected</t>
  </si>
  <si>
    <t>Wait for reconnect to SECONDARY</t>
  </si>
  <si>
    <t>Log shows: "Connected to tcp://172.21.12.69:9017"</t>
  </si>
  <si>
    <t>Check log for /queue/trades resubscribe</t>
  </si>
  <si>
    <t>"Subscription successful: queue=/queue/trades"</t>
  </si>
  <si>
    <t>Check log for /queue/orders resubscribe</t>
  </si>
  <si>
    <t>"Subscription successful: queue=/queue/orders"</t>
  </si>
  <si>
    <t>Check log for /queue/risk resubscribe</t>
  </si>
  <si>
    <t>"Subscription successful: queue=/queue/risk"</t>
  </si>
  <si>
    <t>Check log for /queue/test-trades resubscribe</t>
  </si>
  <si>
    <t>"Subscription successful: queue=/queue/test-trades"</t>
  </si>
  <si>
    <t>Publish one message to each of the 4 queues</t>
  </si>
  <si>
    <t>Subscriber receives all 4 messages via SECONDARY</t>
  </si>
  <si>
    <t>TC-008</t>
  </si>
  <si>
    <t>Publisher Recovery / Delivery During Failover</t>
  </si>
  <si>
    <t>Verify publishes issued during the reconnect window are queued (PublishStore) and flushed, not silently dropped.</t>
  </si>
  <si>
    <t>MemoryPublishStore configured on the HAClient; app connected to PRIMARY.</t>
  </si>
  <si>
    <t>Immediately call client.publish("/queue/trades", ...) 3 times from a test thread, before SECONDARY connect completes</t>
  </si>
  <si>
    <t>Publish calls return without throwing; HAClient buffers them in the PublishStore</t>
  </si>
  <si>
    <t>Wait for reconnect to SECONDARY to complete</t>
  </si>
  <si>
    <t>Verify all 3 buffered publishes are flushed</t>
  </si>
  <si>
    <t>SECONDARY admin UI / subscriber confirms all 3 messages delivered; none lost</t>
  </si>
  <si>
    <t>Compare publish timestamps vs. delivery timestamps</t>
  </si>
  <si>
    <t>Delivery occurs shortly after reconnect, confirming store-and-forward rather than silent drop</t>
  </si>
  <si>
    <t>TC-009</t>
  </si>
  <si>
    <t>Subscriber Idempotency / Duplicate Handling</t>
  </si>
  <si>
    <t>Confirm subscriber logic tolerates possible duplicate delivery across a failover boundary (at-least-once semantics).</t>
  </si>
  <si>
    <t>Subscriber handler implements dedupe-by-id logic per the setup guide's HAClient chapter.</t>
  </si>
  <si>
    <t>Publish a message with id=9001 to /queue/trades</t>
  </si>
  <si>
    <t>Received once, processed once</t>
  </si>
  <si>
    <t>Stop PRIMARY mid-lease, before the consumer's ack completes, to force possible redelivery</t>
  </si>
  <si>
    <t>Message becomes eligible for redelivery once LeaseTimeout (5000ms) elapses on whichever node re-serves it</t>
  </si>
  <si>
    <t>Observe subscriber logs for id=9001</t>
  </si>
  <si>
    <t>If redelivered, subscriber logs "duplicate id=9001 ignored" rather than double-processing it</t>
  </si>
  <si>
    <t>Verify downstream state (DB/cache) for id=9001</t>
  </si>
  <si>
    <t>Exactly one applied update recorded, despite possible duplicate delivery at the transport layer</t>
  </si>
  <si>
    <t>TC-010</t>
  </si>
  <si>
    <t>Admin UI Cross-Check</t>
  </si>
  <si>
    <t>Confirm both Admin UIs independently reflect accurate, real-time, and non-shared state.</t>
  </si>
  <si>
    <t>Low</t>
  </si>
  <si>
    <t>Both PRIMARY and SECONDARY running.</t>
  </si>
  <si>
    <t>Open http://172.21.12.69:8085 (PRIMARY admin)</t>
  </si>
  <si>
    <t>Dashboard loads; instance name shown as "amps-queue-concurrency-primary"</t>
  </si>
  <si>
    <t>Open http://172.21.12.69:8185 (SECONDARY admin)</t>
  </si>
  <si>
    <t>Dashboard loads; instance name shown as "amps-queue-concurrency-secondary"</t>
  </si>
  <si>
    <t>Check queue depth for /queue/trades on PRIMARY</t>
  </si>
  <si>
    <t>Matches the expected message backlog count for the current test state</t>
  </si>
  <si>
    <t>Check queue depth for /queue/trades on SECONDARY</t>
  </si>
  <si>
    <t>Independent value (0 if no replication configured), confirming no shared state between instances</t>
  </si>
  <si>
    <t>Check Connected Clients panel on whichever node the app is currently attached to</t>
  </si>
  <si>
    <t>Exactly one entry for "trades-service"</t>
  </si>
  <si>
    <t>TC-011</t>
  </si>
  <si>
    <t>Lease Timeout / Redelivery Behavior</t>
  </si>
  <si>
    <t>Verify a message whose consumer never acks is redelivered after LeaseTimeout expires, and is not stuck indefinitely.</t>
  </si>
  <si>
    <t>PRIMARY running; a test consumer configured to intentionally never ack.</t>
  </si>
  <si>
    <t>Publish message id=1234 to /queue/test-trades</t>
  </si>
  <si>
    <t>Delivered to the test consumer; consumer intentionally withholds ack</t>
  </si>
  <si>
    <t>Wait 1500ms (&lt; 2000ms LeaseTimeout configured for test-trades)</t>
  </si>
  <si>
    <t>Message remains leased to the original consumer; not yet redelivered</t>
  </si>
  <si>
    <t>Wait until total elapsed time exceeds 2000ms</t>
  </si>
  <si>
    <t>Lease expires; message becomes eligible for redelivery</t>
  </si>
  <si>
    <t>Have a second consumer poll /queue/test-trades</t>
  </si>
  <si>
    <t>Message id=1234 is redelivered to the second consumer</t>
  </si>
  <si>
    <t>Confirm the original consumer's stale lease does not cause a stuck duplicate delivery</t>
  </si>
  <si>
    <t>Only one active lease exists at a time; admin UI queue view shows no orphaned lease entries</t>
  </si>
  <si>
    <t>TC-012</t>
  </si>
  <si>
    <t>Bookmark Resume Validation</t>
  </si>
  <si>
    <t>Confirm the bookmark store correctly tracks position so a resubscribe resumes rather than replaying from scratch or skipping messages.</t>
  </si>
  <si>
    <t>Durable/tracked bookmark subscription in place (MemoryBookmarkStore, or a persistent store for the restart step).</t>
  </si>
  <si>
    <t>Publish messages 1-10 to /queue/orders; consumer processes all 10</t>
  </si>
  <si>
    <t>Bookmark advances to 10; logged accordingly</t>
  </si>
  <si>
    <t>Reconnect to SECONDARY; resubscribe log shows "resumed from bookmark=10"</t>
  </si>
  <si>
    <t>Publish messages 11-15</t>
  </si>
  <si>
    <t>Consumer receives exactly messages 11-15 (5 messages) -- no replay of 1-10, no gap</t>
  </si>
  <si>
    <t>Kill the app JVM (kill -9) and restart it, using a persistent bookmark store</t>
  </si>
  <si>
    <t>On restart, consumer resumes from bookmark=15; does not reprocess 1-15</t>
  </si>
  <si>
    <t>TC-013</t>
  </si>
  <si>
    <t>Simulated Network Partition vs. Process Stop</t>
  </si>
  <si>
    <t>Distinguish process-kill failover (TC-002) from a network-level partition, since silent packet loss can behave differently for detection timing than a clean TCP FIN.</t>
  </si>
  <si>
    <t>Ability to block traffic via firewall rule (iptables in WSL, or a comparable network-level block).</t>
  </si>
  <si>
    <t>Block outbound traffic to 172.21.12.69:9007: sudo iptables -A OUTPUT -p tcp --dport 9007 -j DROP</t>
  </si>
  <si>
    <t>PRIMARY process keeps running server-side; app can no longer reach it</t>
  </si>
  <si>
    <t>Observe application log</t>
  </si>
  <si>
    <t>No clean FIN is received; detection relies on TCP timeout rather than an immediate "Connection lost" -- record the actual detection delay, expect it to be longer than TC-002's</t>
  </si>
  <si>
    <t>Once detected, verify reconnect to SECONDARY proceeds</t>
  </si>
  <si>
    <t>Same reconnect/resubscribe log sequence as TC-002, just at a later timestamp</t>
  </si>
  <si>
    <t>Remove the block: sudo iptables -D OUTPUT -p tcp --dport 9007 -j DROP</t>
  </si>
  <si>
    <t>PRIMARY reachable again; confirm the firewall rule was fully removed, no leftover block</t>
  </si>
  <si>
    <t>TC-014</t>
  </si>
  <si>
    <t>Concurrent Multi-Threaded Publisher Load During Failover</t>
  </si>
  <si>
    <t>Validate the HAClient handles failover correctly under concurrent publish load from multiple threads -- directly relevant given this AMPS instance is named amps-queue-concurrency.</t>
  </si>
  <si>
    <t>Load-test harness configured: e.g. 10 threads each publishing continuously to /queue/trades.</t>
  </si>
  <si>
    <t>Start 10 publisher threads at ~50 msgs/sec each (500 msgs/sec aggregate)</t>
  </si>
  <si>
    <t>Steady-state publishing for a 30s baseline with zero errors</t>
  </si>
  <si>
    <t>Stop PRIMARY mid-load: /home/shan/app-env/scripts/stop-primary.sh</t>
  </si>
  <si>
    <t>Brief spike in publish latency / buffered-but-not-yet-sent count during the reconnect window; no thread deadlocks; no OutOfMemoryError from unbounded PublishStore growth</t>
  </si>
  <si>
    <t>Observe reconnect completes</t>
  </si>
  <si>
    <t>All 10 threads resume publishing to SECONDARY without any individual thread restart</t>
  </si>
  <si>
    <t>Tally total messages published vs. total received on SECONDARY's /queue/trades after the test ends</t>
  </si>
  <si>
    <t>Received count matches published count (allowing for legitimate at-least-once duplicates, but zero losses)</t>
  </si>
  <si>
    <t>TC-015</t>
  </si>
  <si>
    <t>Disk-Usage Failsafe Action</t>
  </si>
  <si>
    <t>Verify the amps-action-do-shutdown disk-usage guard actually fires and is distinguishable in logs from an unplanned crash.</t>
  </si>
  <si>
    <t>Ability to simulate high disk usage on the volume backing /home/shan/app-env/data/amps (dummy file, or a small dedicated test volume).</t>
  </si>
  <si>
    <t>Fill the PRIMARY data volume to &gt;95% usage with a dummy file</t>
  </si>
  <si>
    <t>Within one 10s check cycle, PRIMARY log shows: "CRITICAL: Shutting down AMPS (PRIMARY) due to lack of disk space"</t>
  </si>
  <si>
    <t>Confirm PRIMARY process actually exits: pgrep -fal amps-config-primary.xml</t>
  </si>
  <si>
    <t>No process returned</t>
  </si>
  <si>
    <t>Confirm the app fails over to SECONDARY exactly as in TC-002</t>
  </si>
  <si>
    <t>Same reconnect/resubscribe sequence -- confirms the disk-guard shutdown is operationally indistinguishable from any other PRIMARY-down scenario, from the client's perspective</t>
  </si>
  <si>
    <t>Remove the dummy file, restart PRIMARY</t>
  </si>
  <si>
    <t>PRIMARY starts cleanly once usage drops back under 95%</t>
  </si>
  <si>
    <t>TC-016</t>
  </si>
  <si>
    <t>Config Drift Check -- LeaseTimeout Sync</t>
  </si>
  <si>
    <t>Regression-guard against amps.queue.lease-timeout-ms in application.yaml silently diverging from &lt;LeaseTimeout&gt; in either AMPS config.</t>
  </si>
  <si>
    <t>Read access to amps-config-primary.xml, amps-config-secondary.xml, and application.yaml.</t>
  </si>
  <si>
    <t>Extract &lt;LeaseTimeout&gt; per queue from amps-config-primary.xml</t>
  </si>
  <si>
    <t>5000 for trades/orders/risk; 2000 for test-trades</t>
  </si>
  <si>
    <t>Extract the same values from amps-config-secondary.xml</t>
  </si>
  <si>
    <t>Identical to PRIMARY's values for every queue</t>
  </si>
  <si>
    <t>Extract amps.queue.lease-timeout-ms from application.yaml</t>
  </si>
  <si>
    <t>5000 -- matches the primary-queue lease value the app expects</t>
  </si>
  <si>
    <t>Flag as FAIL if any of the three sources disagree</t>
  </si>
  <si>
    <t>Recommend wiring this as an automated diff step in CI/release checklist rather than a one-time manual check</t>
  </si>
  <si>
    <t>Overall Expected Outcome</t>
  </si>
  <si>
    <t>Status</t>
  </si>
  <si>
    <t>Executed By</t>
  </si>
  <si>
    <t>Date Executed</t>
  </si>
  <si>
    <t>Final step: Client "trades-service" listed, with 4 active subscriptions shown</t>
  </si>
  <si>
    <t>Final step: Client "trades-service" listed with 4 active subscriptions</t>
  </si>
  <si>
    <t>Final step: SECONDARY available again; admin UI 8185 returns 200</t>
  </si>
  <si>
    <t>Final step: SECONDARY returns to service with no effect on the already-stable PRIMARY connection</t>
  </si>
  <si>
    <t>Final step: PRIMARY reachable; record actual observed chooser behavior (stays on SECONDARY vs. fails back)</t>
  </si>
  <si>
    <t>Final step: Exactly 4 active subscriptions (not 8+), confirming old subscriptions are torn down each reconnect rather than stacking</t>
  </si>
  <si>
    <t>Final step: Subscriber receives all 4 messages via SECONDARY</t>
  </si>
  <si>
    <t>Final step: Delivery occurs shortly after reconnect, confirming store-and-forward rather than silent drop</t>
  </si>
  <si>
    <t>Final step: Exactly one applied update recorded, despite possible duplicate delivery at the transport layer</t>
  </si>
  <si>
    <t>Final step: Exactly one entry for "trades-service"</t>
  </si>
  <si>
    <t>Final step: Only one active lease exists at a time; admin UI queue view shows no orphaned lease entries</t>
  </si>
  <si>
    <t>Final step: On restart, consumer resumes from bookmark=15; does not reprocess 1-15</t>
  </si>
  <si>
    <t>Final step: PRIMARY reachable again; confirm the firewall rule was fully removed, no leftover block</t>
  </si>
  <si>
    <t>Final step: Received count matches published count (allowing for legitimate at-least-once duplicates, but zero losses)</t>
  </si>
  <si>
    <t>Final step: PRIMARY starts cleanly once usage drops back under 95%</t>
  </si>
  <si>
    <t>Final step: Recommend wiring this as an automated diff step in CI/release checklist rather than a one-time manual check</t>
  </si>
  <si>
    <t>Dashboard</t>
  </si>
  <si>
    <t>Total Test Cases</t>
  </si>
  <si>
    <t>Passed</t>
  </si>
  <si>
    <t>Failed</t>
  </si>
  <si>
    <t>Blocked</t>
  </si>
  <si>
    <t>Not Run</t>
  </si>
  <si>
    <t>Pass Rate</t>
  </si>
  <si>
    <t>Item</t>
  </si>
  <si>
    <t>Value</t>
  </si>
  <si>
    <t>Server host</t>
  </si>
  <si>
    <t>172.21.12.69</t>
  </si>
  <si>
    <t>Shared AMPS binary</t>
  </si>
  <si>
    <t>/home/shan/amps-5.3.5/bin/amps</t>
  </si>
  <si>
    <t>PRIMARY config</t>
  </si>
  <si>
    <t>/home/shan/amps-5.3.5/config/amps-config-primary.xml</t>
  </si>
  <si>
    <t>SECONDARY config</t>
  </si>
  <si>
    <t>/home/shan/amps-5.3.5/config/amps-config-secondary.xml</t>
  </si>
  <si>
    <t>PRIMARY data root</t>
  </si>
  <si>
    <t>/home/shan/app-env/data/amps</t>
  </si>
  <si>
    <t>SECONDARY data root</t>
  </si>
  <si>
    <t>/home/shan/app-env/data/amps-secondary</t>
  </si>
  <si>
    <t>PRIMARY TCP (tcp-json)</t>
  </si>
  <si>
    <t>SECONDARY TCP (tcp-json)</t>
  </si>
  <si>
    <t>PRIMARY WebSocket (websocket-any)</t>
  </si>
  <si>
    <t>SECONDARY WebSocket (websocket-any)</t>
  </si>
  <si>
    <t>PRIMARY Admin UI</t>
  </si>
  <si>
    <t>SECONDARY Admin UI</t>
  </si>
  <si>
    <t>Queues under test</t>
  </si>
  <si>
    <t>/queue/trades, /queue/orders, /queue/risk, /queue/test-trades</t>
  </si>
  <si>
    <t>LeaseTimeout (trades/orders/risk)</t>
  </si>
  <si>
    <t>5000 ms</t>
  </si>
  <si>
    <t>LeaseTimeout (test-trades)</t>
  </si>
  <si>
    <t>2000 ms</t>
  </si>
  <si>
    <t>HAClient endpoints (ordered)</t>
  </si>
  <si>
    <t>tcp://172.21.12.69:9007/amps/json ; tcp://172.21.12.69:9017/amps/json</t>
  </si>
  <si>
    <t>Reconnect strategy</t>
  </si>
  <si>
    <t>ExponentialDelayStrategy: initial=200ms, max=5000ms, retries=unlimited</t>
  </si>
  <si>
    <t>Resubscribe after reconnect</t>
  </si>
  <si>
    <t>true</t>
  </si>
  <si>
    <t>Bookmark store</t>
  </si>
  <si>
    <t>MemoryBookmarkStore (lab) / persistent store (recommended for TC-012 restart step)</t>
  </si>
  <si>
    <t>Publish store</t>
  </si>
  <si>
    <t>MemoryPublishStore</t>
  </si>
  <si>
    <t>Start scripts</t>
  </si>
  <si>
    <t>/home/shan/app-env/scripts/start-primary.sh ; start-secondary.sh</t>
  </si>
  <si>
    <t>Stop scripts</t>
  </si>
  <si>
    <t>/home/shan/app-env/scripts/stop-primary.sh ; stop-secondary.sh</t>
  </si>
  <si>
    <t>Log files</t>
  </si>
  <si>
    <t>/home/shan/app-env/data/amps/logs/amps.log ; /home/shan/app-env/data/amps-secondary/logs/amps.log</t>
  </si>
  <si>
    <t>How to use this workbook</t>
  </si>
  <si>
    <t>1. "HA Test Scenarios" is the execution sheet — one row per step. Fill in Pass/Fail (dropdown) and Actual Result/Evidence as you go.</t>
  </si>
  <si>
    <t>2. "Test Case Summary" is the roll-up sheet for a test-run report — one row per test case, plus a Dashboard with live Pass/Fail counts (formulas, recalculates automatically).</t>
  </si>
  <si>
    <t>3. "Environment" records the exact hosts, ports, paths, and HAClient settings this run was executed against — attach this sheet to any bug report so failures are reproducible.</t>
  </si>
  <si>
    <t>4. Priority: High = must pass before sign-off; Medium = should pass, file a ticket if not; Low = nice-to-have coverage / hygiene checks.</t>
  </si>
  <si>
    <t>5. Status values: Pass, Fail, Blocked (couldn't execute — e.g. environment unavailable), Not Run.</t>
  </si>
  <si>
    <t>6. TC-013 through TC-016 require extra setup (iptables access, a disk-fillable test volume, a load-test harness, or file access) — schedule these separately from the core TC-001..TC-012 smoke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</si>
</sst>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2"/>
      <name val="Calibri"/>
      <charset val="1"/>
    </font>
    <font>
      <b/>
      <sz val="13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0B4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30" customWidth="1"/>
    <col min="4" max="4" width="9" customWidth="1"/>
    <col min="5" max="5" width="26" customWidth="1"/>
    <col min="6" max="6" width="7" customWidth="1"/>
    <col min="7" max="8" width="42" customWidth="1"/>
    <col min="9" max="9" width="10" customWidth="1"/>
    <col min="10" max="10" width="24" customWidth="1"/>
    <col min="11" max="11" width="26" customWidth="1"/>
  </cols>
  <sheetData>
    <row r="1" spans="1:11" ht="30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35.1" customHeight="1" x14ac:dyDescent="0.3">
      <c r="A2" s="5" t="s">
        <v>11</v>
      </c>
      <c r="B2" s="4" t="s">
        <v>12</v>
      </c>
      <c r="C2" s="4" t="s">
        <v>13</v>
      </c>
      <c r="D2" s="3" t="s">
        <v>14</v>
      </c>
      <c r="E2" s="4" t="s">
        <v>15</v>
      </c>
      <c r="F2" s="7">
        <v>1</v>
      </c>
      <c r="G2" s="8" t="s">
        <v>16</v>
      </c>
      <c r="H2" s="8" t="s">
        <v>17</v>
      </c>
      <c r="I2" s="8"/>
      <c r="J2" s="8"/>
      <c r="K2" s="8"/>
    </row>
    <row r="3" spans="1:11" ht="27.6" x14ac:dyDescent="0.3">
      <c r="A3" s="5"/>
      <c r="B3" s="5"/>
      <c r="C3" s="5"/>
      <c r="D3" s="5"/>
      <c r="E3" s="5"/>
      <c r="F3" s="7">
        <v>2</v>
      </c>
      <c r="G3" s="8" t="s">
        <v>18</v>
      </c>
      <c r="H3" s="8" t="s">
        <v>19</v>
      </c>
      <c r="I3" s="8"/>
      <c r="J3" s="8"/>
      <c r="K3" s="8"/>
    </row>
    <row r="4" spans="1:11" ht="27.6" x14ac:dyDescent="0.3">
      <c r="A4" s="5"/>
      <c r="B4" s="5"/>
      <c r="C4" s="5"/>
      <c r="D4" s="5"/>
      <c r="E4" s="5"/>
      <c r="F4" s="7">
        <v>3</v>
      </c>
      <c r="G4" s="8" t="s">
        <v>20</v>
      </c>
      <c r="H4" s="8" t="s">
        <v>21</v>
      </c>
      <c r="I4" s="8"/>
      <c r="J4" s="8"/>
      <c r="K4" s="8"/>
    </row>
    <row r="5" spans="1:11" ht="27.6" x14ac:dyDescent="0.3">
      <c r="A5" s="5"/>
      <c r="B5" s="5"/>
      <c r="C5" s="5"/>
      <c r="D5" s="5"/>
      <c r="E5" s="5"/>
      <c r="F5" s="7">
        <v>4</v>
      </c>
      <c r="G5" s="8" t="s">
        <v>22</v>
      </c>
      <c r="H5" s="8" t="s">
        <v>19</v>
      </c>
      <c r="I5" s="8"/>
      <c r="J5" s="8"/>
      <c r="K5" s="8"/>
    </row>
    <row r="6" spans="1:11" ht="27.6" x14ac:dyDescent="0.3">
      <c r="A6" s="5"/>
      <c r="B6" s="5"/>
      <c r="C6" s="5"/>
      <c r="D6" s="5"/>
      <c r="E6" s="5"/>
      <c r="F6" s="7">
        <v>5</v>
      </c>
      <c r="G6" s="8" t="s">
        <v>23</v>
      </c>
      <c r="H6" s="8" t="s">
        <v>24</v>
      </c>
      <c r="I6" s="8"/>
      <c r="J6" s="8"/>
      <c r="K6" s="8"/>
    </row>
    <row r="7" spans="1:11" ht="27.6" x14ac:dyDescent="0.3">
      <c r="A7" s="5"/>
      <c r="B7" s="5"/>
      <c r="C7" s="5"/>
      <c r="D7" s="5"/>
      <c r="E7" s="5"/>
      <c r="F7" s="7">
        <v>6</v>
      </c>
      <c r="G7" s="8" t="s">
        <v>25</v>
      </c>
      <c r="H7" s="8" t="s">
        <v>26</v>
      </c>
      <c r="I7" s="8"/>
      <c r="J7" s="8"/>
      <c r="K7" s="8"/>
    </row>
    <row r="8" spans="1:11" ht="27.6" x14ac:dyDescent="0.3">
      <c r="A8" s="5"/>
      <c r="B8" s="5"/>
      <c r="C8" s="5"/>
      <c r="D8" s="5"/>
      <c r="E8" s="5"/>
      <c r="F8" s="7">
        <v>7</v>
      </c>
      <c r="G8" s="8" t="s">
        <v>27</v>
      </c>
      <c r="H8" s="8" t="s">
        <v>28</v>
      </c>
      <c r="I8" s="8"/>
      <c r="J8" s="8"/>
      <c r="K8" s="8"/>
    </row>
    <row r="9" spans="1:11" ht="41.4" x14ac:dyDescent="0.3">
      <c r="A9" s="5"/>
      <c r="B9" s="5"/>
      <c r="C9" s="5"/>
      <c r="D9" s="5"/>
      <c r="E9" s="5"/>
      <c r="F9" s="7">
        <v>8</v>
      </c>
      <c r="G9" s="8" t="s">
        <v>29</v>
      </c>
      <c r="H9" s="8" t="s">
        <v>30</v>
      </c>
      <c r="I9" s="8"/>
      <c r="J9" s="8"/>
      <c r="K9" s="8"/>
    </row>
    <row r="10" spans="1:11" ht="27.6" x14ac:dyDescent="0.3">
      <c r="A10" s="5"/>
      <c r="B10" s="5"/>
      <c r="C10" s="5"/>
      <c r="D10" s="5"/>
      <c r="E10" s="5"/>
      <c r="F10" s="7">
        <v>9</v>
      </c>
      <c r="G10" s="8" t="s">
        <v>31</v>
      </c>
      <c r="H10" s="8" t="s">
        <v>32</v>
      </c>
      <c r="I10" s="8"/>
      <c r="J10" s="8"/>
      <c r="K10" s="8"/>
    </row>
    <row r="11" spans="1:11" ht="23.85" customHeight="1" x14ac:dyDescent="0.3">
      <c r="A11" s="5" t="s">
        <v>33</v>
      </c>
      <c r="B11" s="4" t="s">
        <v>34</v>
      </c>
      <c r="C11" s="4" t="s">
        <v>35</v>
      </c>
      <c r="D11" s="3" t="s">
        <v>14</v>
      </c>
      <c r="E11" s="4" t="s">
        <v>36</v>
      </c>
      <c r="F11" s="7">
        <v>1</v>
      </c>
      <c r="G11" s="8" t="s">
        <v>37</v>
      </c>
      <c r="H11" s="8" t="s">
        <v>38</v>
      </c>
      <c r="I11" s="8"/>
      <c r="J11" s="8"/>
      <c r="K11" s="8"/>
    </row>
    <row r="12" spans="1:11" ht="27.6" x14ac:dyDescent="0.3">
      <c r="A12" s="5"/>
      <c r="B12" s="5"/>
      <c r="C12" s="5"/>
      <c r="D12" s="5"/>
      <c r="E12" s="5"/>
      <c r="F12" s="7">
        <v>2</v>
      </c>
      <c r="G12" s="8" t="s">
        <v>39</v>
      </c>
      <c r="H12" s="8" t="s">
        <v>40</v>
      </c>
      <c r="I12" s="8"/>
      <c r="J12" s="8"/>
      <c r="K12" s="8"/>
    </row>
    <row r="13" spans="1:11" ht="27.6" x14ac:dyDescent="0.3">
      <c r="A13" s="5"/>
      <c r="B13" s="5"/>
      <c r="C13" s="5"/>
      <c r="D13" s="5"/>
      <c r="E13" s="5"/>
      <c r="F13" s="7">
        <v>3</v>
      </c>
      <c r="G13" s="8" t="s">
        <v>41</v>
      </c>
      <c r="H13" s="8" t="s">
        <v>42</v>
      </c>
      <c r="I13" s="8"/>
      <c r="J13" s="8"/>
      <c r="K13" s="8"/>
    </row>
    <row r="14" spans="1:11" ht="27.6" x14ac:dyDescent="0.3">
      <c r="A14" s="5"/>
      <c r="B14" s="5"/>
      <c r="C14" s="5"/>
      <c r="D14" s="5"/>
      <c r="E14" s="5"/>
      <c r="F14" s="7">
        <v>4</v>
      </c>
      <c r="G14" s="8" t="s">
        <v>43</v>
      </c>
      <c r="H14" s="8" t="s">
        <v>44</v>
      </c>
      <c r="I14" s="8"/>
      <c r="J14" s="8"/>
      <c r="K14" s="8"/>
    </row>
    <row r="15" spans="1:11" ht="41.4" x14ac:dyDescent="0.3">
      <c r="A15" s="5"/>
      <c r="B15" s="5"/>
      <c r="C15" s="5"/>
      <c r="D15" s="5"/>
      <c r="E15" s="5"/>
      <c r="F15" s="7">
        <v>5</v>
      </c>
      <c r="G15" s="8" t="s">
        <v>45</v>
      </c>
      <c r="H15" s="8" t="s">
        <v>46</v>
      </c>
      <c r="I15" s="8"/>
      <c r="J15" s="8"/>
      <c r="K15" s="8"/>
    </row>
    <row r="16" spans="1:11" ht="41.4" x14ac:dyDescent="0.3">
      <c r="A16" s="5"/>
      <c r="B16" s="5"/>
      <c r="C16" s="5"/>
      <c r="D16" s="5"/>
      <c r="E16" s="5"/>
      <c r="F16" s="7">
        <v>6</v>
      </c>
      <c r="G16" s="8" t="s">
        <v>47</v>
      </c>
      <c r="H16" s="8" t="s">
        <v>48</v>
      </c>
      <c r="I16" s="8"/>
      <c r="J16" s="8"/>
      <c r="K16" s="8"/>
    </row>
    <row r="17" spans="1:11" ht="55.2" x14ac:dyDescent="0.3">
      <c r="A17" s="5"/>
      <c r="B17" s="5"/>
      <c r="C17" s="5"/>
      <c r="D17" s="5"/>
      <c r="E17" s="5"/>
      <c r="F17" s="7">
        <v>7</v>
      </c>
      <c r="G17" s="8" t="s">
        <v>49</v>
      </c>
      <c r="H17" s="8" t="s">
        <v>50</v>
      </c>
      <c r="I17" s="8"/>
      <c r="J17" s="8"/>
      <c r="K17" s="8"/>
    </row>
    <row r="18" spans="1:11" ht="27.6" x14ac:dyDescent="0.3">
      <c r="A18" s="5"/>
      <c r="B18" s="5"/>
      <c r="C18" s="5"/>
      <c r="D18" s="5"/>
      <c r="E18" s="5"/>
      <c r="F18" s="7">
        <v>8</v>
      </c>
      <c r="G18" s="8" t="s">
        <v>51</v>
      </c>
      <c r="H18" s="8" t="s">
        <v>52</v>
      </c>
      <c r="I18" s="8"/>
      <c r="J18" s="8"/>
      <c r="K18" s="8"/>
    </row>
    <row r="19" spans="1:11" ht="27.6" x14ac:dyDescent="0.3">
      <c r="A19" s="5"/>
      <c r="B19" s="5"/>
      <c r="C19" s="5"/>
      <c r="D19" s="5"/>
      <c r="E19" s="5"/>
      <c r="F19" s="7">
        <v>9</v>
      </c>
      <c r="G19" s="8" t="s">
        <v>53</v>
      </c>
      <c r="H19" s="8" t="s">
        <v>54</v>
      </c>
      <c r="I19" s="8"/>
      <c r="J19" s="8"/>
      <c r="K19" s="8"/>
    </row>
    <row r="20" spans="1:11" ht="23.85" customHeight="1" x14ac:dyDescent="0.3">
      <c r="A20" s="5" t="s">
        <v>55</v>
      </c>
      <c r="B20" s="4" t="s">
        <v>56</v>
      </c>
      <c r="C20" s="4" t="s">
        <v>57</v>
      </c>
      <c r="D20" s="3" t="s">
        <v>14</v>
      </c>
      <c r="E20" s="4" t="s">
        <v>58</v>
      </c>
      <c r="F20" s="7">
        <v>1</v>
      </c>
      <c r="G20" s="8" t="s">
        <v>16</v>
      </c>
      <c r="H20" s="8" t="s">
        <v>59</v>
      </c>
      <c r="I20" s="8"/>
      <c r="J20" s="8"/>
      <c r="K20" s="8"/>
    </row>
    <row r="21" spans="1:11" ht="55.2" x14ac:dyDescent="0.3">
      <c r="A21" s="5"/>
      <c r="B21" s="5"/>
      <c r="C21" s="5"/>
      <c r="D21" s="5"/>
      <c r="E21" s="5"/>
      <c r="F21" s="7">
        <v>2</v>
      </c>
      <c r="G21" s="8" t="s">
        <v>60</v>
      </c>
      <c r="H21" s="8" t="s">
        <v>61</v>
      </c>
      <c r="I21" s="8"/>
      <c r="J21" s="8"/>
      <c r="K21" s="8"/>
    </row>
    <row r="22" spans="1:11" ht="27.6" x14ac:dyDescent="0.3">
      <c r="A22" s="5"/>
      <c r="B22" s="5"/>
      <c r="C22" s="5"/>
      <c r="D22" s="5"/>
      <c r="E22" s="5"/>
      <c r="F22" s="7">
        <v>3</v>
      </c>
      <c r="G22" s="8" t="s">
        <v>62</v>
      </c>
      <c r="H22" s="8" t="s">
        <v>63</v>
      </c>
      <c r="I22" s="8"/>
      <c r="J22" s="8"/>
      <c r="K22" s="8"/>
    </row>
    <row r="23" spans="1:11" ht="27.6" x14ac:dyDescent="0.3">
      <c r="A23" s="5"/>
      <c r="B23" s="5"/>
      <c r="C23" s="5"/>
      <c r="D23" s="5"/>
      <c r="E23" s="5"/>
      <c r="F23" s="7">
        <v>4</v>
      </c>
      <c r="G23" s="8" t="s">
        <v>64</v>
      </c>
      <c r="H23" s="8" t="s">
        <v>65</v>
      </c>
      <c r="I23" s="8"/>
      <c r="J23" s="8"/>
      <c r="K23" s="8"/>
    </row>
    <row r="24" spans="1:11" ht="69" x14ac:dyDescent="0.3">
      <c r="A24" s="5"/>
      <c r="B24" s="5"/>
      <c r="C24" s="5"/>
      <c r="D24" s="5"/>
      <c r="E24" s="5"/>
      <c r="F24" s="7">
        <v>5</v>
      </c>
      <c r="G24" s="8" t="s">
        <v>66</v>
      </c>
      <c r="H24" s="8" t="s">
        <v>67</v>
      </c>
      <c r="I24" s="8"/>
      <c r="J24" s="8"/>
      <c r="K24" s="8"/>
    </row>
    <row r="25" spans="1:11" ht="27.6" x14ac:dyDescent="0.3">
      <c r="A25" s="5"/>
      <c r="B25" s="5"/>
      <c r="C25" s="5"/>
      <c r="D25" s="5"/>
      <c r="E25" s="5"/>
      <c r="F25" s="7">
        <v>6</v>
      </c>
      <c r="G25" s="8" t="s">
        <v>68</v>
      </c>
      <c r="H25" s="8" t="s">
        <v>69</v>
      </c>
      <c r="I25" s="8"/>
      <c r="J25" s="8"/>
      <c r="K25" s="8"/>
    </row>
    <row r="26" spans="1:11" ht="23.85" customHeight="1" x14ac:dyDescent="0.3">
      <c r="A26" s="5" t="s">
        <v>70</v>
      </c>
      <c r="B26" s="4" t="s">
        <v>71</v>
      </c>
      <c r="C26" s="4" t="s">
        <v>72</v>
      </c>
      <c r="D26" s="2" t="s">
        <v>73</v>
      </c>
      <c r="E26" s="4" t="s">
        <v>74</v>
      </c>
      <c r="F26" s="7">
        <v>1</v>
      </c>
      <c r="G26" s="8" t="s">
        <v>75</v>
      </c>
      <c r="H26" s="8" t="s">
        <v>76</v>
      </c>
      <c r="I26" s="8"/>
      <c r="J26" s="8"/>
      <c r="K26" s="8"/>
    </row>
    <row r="27" spans="1:11" ht="27.6" x14ac:dyDescent="0.3">
      <c r="A27" s="5"/>
      <c r="B27" s="5"/>
      <c r="C27" s="5"/>
      <c r="D27" s="5"/>
      <c r="E27" s="5"/>
      <c r="F27" s="7">
        <v>2</v>
      </c>
      <c r="G27" s="8" t="s">
        <v>62</v>
      </c>
      <c r="H27" s="8" t="s">
        <v>77</v>
      </c>
      <c r="I27" s="8"/>
      <c r="J27" s="8"/>
      <c r="K27" s="8"/>
    </row>
    <row r="28" spans="1:11" ht="27.6" x14ac:dyDescent="0.3">
      <c r="A28" s="5"/>
      <c r="B28" s="5"/>
      <c r="C28" s="5"/>
      <c r="D28" s="5"/>
      <c r="E28" s="5"/>
      <c r="F28" s="7">
        <v>3</v>
      </c>
      <c r="G28" s="8" t="s">
        <v>78</v>
      </c>
      <c r="H28" s="8" t="s">
        <v>79</v>
      </c>
      <c r="I28" s="8"/>
      <c r="J28" s="8"/>
      <c r="K28" s="8"/>
    </row>
    <row r="29" spans="1:11" ht="27.6" x14ac:dyDescent="0.3">
      <c r="A29" s="5"/>
      <c r="B29" s="5"/>
      <c r="C29" s="5"/>
      <c r="D29" s="5"/>
      <c r="E29" s="5"/>
      <c r="F29" s="7">
        <v>4</v>
      </c>
      <c r="G29" s="8" t="s">
        <v>80</v>
      </c>
      <c r="H29" s="8" t="s">
        <v>81</v>
      </c>
      <c r="I29" s="8"/>
      <c r="J29" s="8"/>
      <c r="K29" s="8"/>
    </row>
    <row r="30" spans="1:11" ht="27.6" x14ac:dyDescent="0.3">
      <c r="A30" s="5"/>
      <c r="B30" s="5"/>
      <c r="C30" s="5"/>
      <c r="D30" s="5"/>
      <c r="E30" s="5"/>
      <c r="F30" s="7">
        <v>5</v>
      </c>
      <c r="G30" s="8" t="s">
        <v>82</v>
      </c>
      <c r="H30" s="8" t="s">
        <v>83</v>
      </c>
      <c r="I30" s="8"/>
      <c r="J30" s="8"/>
      <c r="K30" s="8"/>
    </row>
    <row r="31" spans="1:11" ht="23.85" customHeight="1" x14ac:dyDescent="0.3">
      <c r="A31" s="5" t="s">
        <v>84</v>
      </c>
      <c r="B31" s="4" t="s">
        <v>85</v>
      </c>
      <c r="C31" s="4" t="s">
        <v>86</v>
      </c>
      <c r="D31" s="3" t="s">
        <v>14</v>
      </c>
      <c r="E31" s="4" t="s">
        <v>87</v>
      </c>
      <c r="F31" s="7">
        <v>1</v>
      </c>
      <c r="G31" s="8" t="s">
        <v>41</v>
      </c>
      <c r="H31" s="8" t="s">
        <v>88</v>
      </c>
      <c r="I31" s="8"/>
      <c r="J31" s="8"/>
      <c r="K31" s="8"/>
    </row>
    <row r="32" spans="1:11" ht="55.2" x14ac:dyDescent="0.3">
      <c r="A32" s="5"/>
      <c r="B32" s="5"/>
      <c r="C32" s="5"/>
      <c r="D32" s="5"/>
      <c r="E32" s="5"/>
      <c r="F32" s="7">
        <v>2</v>
      </c>
      <c r="G32" s="8" t="s">
        <v>89</v>
      </c>
      <c r="H32" s="8" t="s">
        <v>90</v>
      </c>
      <c r="I32" s="8"/>
      <c r="J32" s="8"/>
      <c r="K32" s="8"/>
    </row>
    <row r="33" spans="1:11" ht="41.4" x14ac:dyDescent="0.3">
      <c r="A33" s="5"/>
      <c r="B33" s="5"/>
      <c r="C33" s="5"/>
      <c r="D33" s="5"/>
      <c r="E33" s="5"/>
      <c r="F33" s="7">
        <v>3</v>
      </c>
      <c r="G33" s="8" t="s">
        <v>91</v>
      </c>
      <c r="H33" s="8" t="s">
        <v>92</v>
      </c>
      <c r="I33" s="8"/>
      <c r="J33" s="8"/>
      <c r="K33" s="8"/>
    </row>
    <row r="34" spans="1:11" ht="41.4" x14ac:dyDescent="0.3">
      <c r="A34" s="5"/>
      <c r="B34" s="5"/>
      <c r="C34" s="5"/>
      <c r="D34" s="5"/>
      <c r="E34" s="5"/>
      <c r="F34" s="7">
        <v>4</v>
      </c>
      <c r="G34" s="8" t="s">
        <v>93</v>
      </c>
      <c r="H34" s="8" t="s">
        <v>94</v>
      </c>
      <c r="I34" s="8"/>
      <c r="J34" s="8"/>
      <c r="K34" s="8"/>
    </row>
    <row r="35" spans="1:11" ht="41.4" x14ac:dyDescent="0.3">
      <c r="A35" s="5"/>
      <c r="B35" s="5"/>
      <c r="C35" s="5"/>
      <c r="D35" s="5"/>
      <c r="E35" s="5"/>
      <c r="F35" s="7">
        <v>5</v>
      </c>
      <c r="G35" s="8" t="s">
        <v>16</v>
      </c>
      <c r="H35" s="8" t="s">
        <v>95</v>
      </c>
      <c r="I35" s="8"/>
      <c r="J35" s="8"/>
      <c r="K35" s="8"/>
    </row>
    <row r="36" spans="1:11" ht="35.1" customHeight="1" x14ac:dyDescent="0.3">
      <c r="A36" s="5" t="s">
        <v>96</v>
      </c>
      <c r="B36" s="4" t="s">
        <v>97</v>
      </c>
      <c r="C36" s="4" t="s">
        <v>98</v>
      </c>
      <c r="D36" s="2" t="s">
        <v>73</v>
      </c>
      <c r="E36" s="4" t="s">
        <v>99</v>
      </c>
      <c r="F36" s="7">
        <v>1</v>
      </c>
      <c r="G36" s="8" t="s">
        <v>100</v>
      </c>
      <c r="H36" s="8" t="s">
        <v>101</v>
      </c>
      <c r="I36" s="8"/>
      <c r="J36" s="8"/>
      <c r="K36" s="8"/>
    </row>
    <row r="37" spans="1:11" ht="27.6" x14ac:dyDescent="0.3">
      <c r="A37" s="5"/>
      <c r="B37" s="5"/>
      <c r="C37" s="5"/>
      <c r="D37" s="5"/>
      <c r="E37" s="5"/>
      <c r="F37" s="7">
        <v>2</v>
      </c>
      <c r="G37" s="8" t="s">
        <v>102</v>
      </c>
      <c r="H37" s="8" t="s">
        <v>103</v>
      </c>
      <c r="I37" s="8"/>
      <c r="J37" s="8"/>
      <c r="K37" s="8"/>
    </row>
    <row r="38" spans="1:11" ht="27.6" x14ac:dyDescent="0.3">
      <c r="A38" s="5"/>
      <c r="B38" s="5"/>
      <c r="C38" s="5"/>
      <c r="D38" s="5"/>
      <c r="E38" s="5"/>
      <c r="F38" s="7">
        <v>3</v>
      </c>
      <c r="G38" s="8" t="s">
        <v>104</v>
      </c>
      <c r="H38" s="8" t="s">
        <v>105</v>
      </c>
      <c r="I38" s="8"/>
      <c r="J38" s="8"/>
      <c r="K38" s="8"/>
    </row>
    <row r="39" spans="1:11" ht="27.6" x14ac:dyDescent="0.3">
      <c r="A39" s="5"/>
      <c r="B39" s="5"/>
      <c r="C39" s="5"/>
      <c r="D39" s="5"/>
      <c r="E39" s="5"/>
      <c r="F39" s="7">
        <v>4</v>
      </c>
      <c r="G39" s="8" t="s">
        <v>106</v>
      </c>
      <c r="H39" s="8" t="s">
        <v>107</v>
      </c>
      <c r="I39" s="8"/>
      <c r="J39" s="8"/>
      <c r="K39" s="8"/>
    </row>
    <row r="40" spans="1:11" ht="41.4" x14ac:dyDescent="0.3">
      <c r="A40" s="5"/>
      <c r="B40" s="5"/>
      <c r="C40" s="5"/>
      <c r="D40" s="5"/>
      <c r="E40" s="5"/>
      <c r="F40" s="7">
        <v>5</v>
      </c>
      <c r="G40" s="8" t="s">
        <v>108</v>
      </c>
      <c r="H40" s="8" t="s">
        <v>109</v>
      </c>
      <c r="I40" s="8"/>
      <c r="J40" s="8"/>
      <c r="K40" s="8"/>
    </row>
    <row r="41" spans="1:11" ht="23.85" customHeight="1" x14ac:dyDescent="0.3">
      <c r="A41" s="5" t="s">
        <v>110</v>
      </c>
      <c r="B41" s="4" t="s">
        <v>111</v>
      </c>
      <c r="C41" s="4" t="s">
        <v>112</v>
      </c>
      <c r="D41" s="3" t="s">
        <v>14</v>
      </c>
      <c r="E41" s="4" t="s">
        <v>113</v>
      </c>
      <c r="F41" s="7">
        <v>1</v>
      </c>
      <c r="G41" s="8" t="s">
        <v>41</v>
      </c>
      <c r="H41" s="8" t="s">
        <v>114</v>
      </c>
      <c r="I41" s="8"/>
      <c r="J41" s="8"/>
      <c r="K41" s="8"/>
    </row>
    <row r="42" spans="1:11" ht="27.6" x14ac:dyDescent="0.3">
      <c r="A42" s="5"/>
      <c r="B42" s="5"/>
      <c r="C42" s="5"/>
      <c r="D42" s="5"/>
      <c r="E42" s="5"/>
      <c r="F42" s="7">
        <v>2</v>
      </c>
      <c r="G42" s="8" t="s">
        <v>115</v>
      </c>
      <c r="H42" s="8" t="s">
        <v>116</v>
      </c>
      <c r="I42" s="8"/>
      <c r="J42" s="8"/>
      <c r="K42" s="8"/>
    </row>
    <row r="43" spans="1:11" x14ac:dyDescent="0.3">
      <c r="A43" s="5"/>
      <c r="B43" s="5"/>
      <c r="C43" s="5"/>
      <c r="D43" s="5"/>
      <c r="E43" s="5"/>
      <c r="F43" s="7">
        <v>3</v>
      </c>
      <c r="G43" s="8" t="s">
        <v>117</v>
      </c>
      <c r="H43" s="8" t="s">
        <v>118</v>
      </c>
      <c r="I43" s="8"/>
      <c r="J43" s="8"/>
      <c r="K43" s="8"/>
    </row>
    <row r="44" spans="1:11" x14ac:dyDescent="0.3">
      <c r="A44" s="5"/>
      <c r="B44" s="5"/>
      <c r="C44" s="5"/>
      <c r="D44" s="5"/>
      <c r="E44" s="5"/>
      <c r="F44" s="7">
        <v>4</v>
      </c>
      <c r="G44" s="8" t="s">
        <v>119</v>
      </c>
      <c r="H44" s="8" t="s">
        <v>120</v>
      </c>
      <c r="I44" s="8"/>
      <c r="J44" s="8"/>
      <c r="K44" s="8"/>
    </row>
    <row r="45" spans="1:11" x14ac:dyDescent="0.3">
      <c r="A45" s="5"/>
      <c r="B45" s="5"/>
      <c r="C45" s="5"/>
      <c r="D45" s="5"/>
      <c r="E45" s="5"/>
      <c r="F45" s="7">
        <v>5</v>
      </c>
      <c r="G45" s="8" t="s">
        <v>121</v>
      </c>
      <c r="H45" s="8" t="s">
        <v>122</v>
      </c>
      <c r="I45" s="8"/>
      <c r="J45" s="8"/>
      <c r="K45" s="8"/>
    </row>
    <row r="46" spans="1:11" ht="27.6" x14ac:dyDescent="0.3">
      <c r="A46" s="5"/>
      <c r="B46" s="5"/>
      <c r="C46" s="5"/>
      <c r="D46" s="5"/>
      <c r="E46" s="5"/>
      <c r="F46" s="7">
        <v>6</v>
      </c>
      <c r="G46" s="8" t="s">
        <v>123</v>
      </c>
      <c r="H46" s="8" t="s">
        <v>124</v>
      </c>
      <c r="I46" s="8"/>
      <c r="J46" s="8"/>
      <c r="K46" s="8"/>
    </row>
    <row r="47" spans="1:11" x14ac:dyDescent="0.3">
      <c r="A47" s="5"/>
      <c r="B47" s="5"/>
      <c r="C47" s="5"/>
      <c r="D47" s="5"/>
      <c r="E47" s="5"/>
      <c r="F47" s="7">
        <v>7</v>
      </c>
      <c r="G47" s="8" t="s">
        <v>125</v>
      </c>
      <c r="H47" s="8" t="s">
        <v>126</v>
      </c>
      <c r="I47" s="8"/>
      <c r="J47" s="8"/>
      <c r="K47" s="8"/>
    </row>
    <row r="48" spans="1:11" ht="23.85" customHeight="1" x14ac:dyDescent="0.3">
      <c r="A48" s="5" t="s">
        <v>127</v>
      </c>
      <c r="B48" s="4" t="s">
        <v>128</v>
      </c>
      <c r="C48" s="4" t="s">
        <v>129</v>
      </c>
      <c r="D48" s="3" t="s">
        <v>14</v>
      </c>
      <c r="E48" s="4" t="s">
        <v>130</v>
      </c>
      <c r="F48" s="7">
        <v>1</v>
      </c>
      <c r="G48" s="8" t="s">
        <v>41</v>
      </c>
      <c r="H48" s="8" t="s">
        <v>114</v>
      </c>
      <c r="I48" s="8"/>
      <c r="J48" s="8"/>
      <c r="K48" s="8"/>
    </row>
    <row r="49" spans="1:11" ht="41.4" x14ac:dyDescent="0.3">
      <c r="A49" s="5"/>
      <c r="B49" s="5"/>
      <c r="C49" s="5"/>
      <c r="D49" s="5"/>
      <c r="E49" s="5"/>
      <c r="F49" s="7">
        <v>2</v>
      </c>
      <c r="G49" s="8" t="s">
        <v>131</v>
      </c>
      <c r="H49" s="8" t="s">
        <v>132</v>
      </c>
      <c r="I49" s="8"/>
      <c r="J49" s="8"/>
      <c r="K49" s="8"/>
    </row>
    <row r="50" spans="1:11" ht="27.6" x14ac:dyDescent="0.3">
      <c r="A50" s="5"/>
      <c r="B50" s="5"/>
      <c r="C50" s="5"/>
      <c r="D50" s="5"/>
      <c r="E50" s="5"/>
      <c r="F50" s="7">
        <v>3</v>
      </c>
      <c r="G50" s="8" t="s">
        <v>133</v>
      </c>
      <c r="H50" s="8" t="s">
        <v>116</v>
      </c>
      <c r="I50" s="8"/>
      <c r="J50" s="8"/>
      <c r="K50" s="8"/>
    </row>
    <row r="51" spans="1:11" ht="27.6" x14ac:dyDescent="0.3">
      <c r="A51" s="5"/>
      <c r="B51" s="5"/>
      <c r="C51" s="5"/>
      <c r="D51" s="5"/>
      <c r="E51" s="5"/>
      <c r="F51" s="7">
        <v>4</v>
      </c>
      <c r="G51" s="8" t="s">
        <v>134</v>
      </c>
      <c r="H51" s="8" t="s">
        <v>135</v>
      </c>
      <c r="I51" s="8"/>
      <c r="J51" s="8"/>
      <c r="K51" s="8"/>
    </row>
    <row r="52" spans="1:11" ht="27.6" x14ac:dyDescent="0.3">
      <c r="A52" s="5"/>
      <c r="B52" s="5"/>
      <c r="C52" s="5"/>
      <c r="D52" s="5"/>
      <c r="E52" s="5"/>
      <c r="F52" s="7">
        <v>5</v>
      </c>
      <c r="G52" s="8" t="s">
        <v>136</v>
      </c>
      <c r="H52" s="8" t="s">
        <v>137</v>
      </c>
      <c r="I52" s="8"/>
      <c r="J52" s="8"/>
      <c r="K52" s="8"/>
    </row>
    <row r="53" spans="1:11" ht="15" customHeight="1" x14ac:dyDescent="0.3">
      <c r="A53" s="5" t="s">
        <v>138</v>
      </c>
      <c r="B53" s="4" t="s">
        <v>139</v>
      </c>
      <c r="C53" s="4" t="s">
        <v>140</v>
      </c>
      <c r="D53" s="3" t="s">
        <v>14</v>
      </c>
      <c r="E53" s="4" t="s">
        <v>141</v>
      </c>
      <c r="F53" s="7">
        <v>1</v>
      </c>
      <c r="G53" s="8" t="s">
        <v>142</v>
      </c>
      <c r="H53" s="8" t="s">
        <v>143</v>
      </c>
      <c r="I53" s="8"/>
      <c r="J53" s="8"/>
      <c r="K53" s="8"/>
    </row>
    <row r="54" spans="1:11" ht="41.4" x14ac:dyDescent="0.3">
      <c r="A54" s="5"/>
      <c r="B54" s="5"/>
      <c r="C54" s="5"/>
      <c r="D54" s="5"/>
      <c r="E54" s="5"/>
      <c r="F54" s="7">
        <v>2</v>
      </c>
      <c r="G54" s="8" t="s">
        <v>144</v>
      </c>
      <c r="H54" s="8" t="s">
        <v>145</v>
      </c>
      <c r="I54" s="8"/>
      <c r="J54" s="8"/>
      <c r="K54" s="8"/>
    </row>
    <row r="55" spans="1:11" ht="27.6" x14ac:dyDescent="0.3">
      <c r="A55" s="5"/>
      <c r="B55" s="5"/>
      <c r="C55" s="5"/>
      <c r="D55" s="5"/>
      <c r="E55" s="5"/>
      <c r="F55" s="7">
        <v>3</v>
      </c>
      <c r="G55" s="8" t="s">
        <v>146</v>
      </c>
      <c r="H55" s="8" t="s">
        <v>147</v>
      </c>
      <c r="I55" s="8"/>
      <c r="J55" s="8"/>
      <c r="K55" s="8"/>
    </row>
    <row r="56" spans="1:11" ht="27.6" x14ac:dyDescent="0.3">
      <c r="A56" s="5"/>
      <c r="B56" s="5"/>
      <c r="C56" s="5"/>
      <c r="D56" s="5"/>
      <c r="E56" s="5"/>
      <c r="F56" s="7">
        <v>4</v>
      </c>
      <c r="G56" s="8" t="s">
        <v>148</v>
      </c>
      <c r="H56" s="8" t="s">
        <v>149</v>
      </c>
      <c r="I56" s="8"/>
      <c r="J56" s="8"/>
      <c r="K56" s="8"/>
    </row>
    <row r="57" spans="1:11" ht="23.85" customHeight="1" x14ac:dyDescent="0.3">
      <c r="A57" s="5" t="s">
        <v>150</v>
      </c>
      <c r="B57" s="4" t="s">
        <v>151</v>
      </c>
      <c r="C57" s="4" t="s">
        <v>152</v>
      </c>
      <c r="D57" s="1" t="s">
        <v>153</v>
      </c>
      <c r="E57" s="4" t="s">
        <v>154</v>
      </c>
      <c r="F57" s="7">
        <v>1</v>
      </c>
      <c r="G57" s="8" t="s">
        <v>155</v>
      </c>
      <c r="H57" s="8" t="s">
        <v>156</v>
      </c>
      <c r="I57" s="8"/>
      <c r="J57" s="8"/>
      <c r="K57" s="8"/>
    </row>
    <row r="58" spans="1:11" ht="27.6" x14ac:dyDescent="0.3">
      <c r="A58" s="5"/>
      <c r="B58" s="5"/>
      <c r="C58" s="5"/>
      <c r="D58" s="5"/>
      <c r="E58" s="5"/>
      <c r="F58" s="7">
        <v>2</v>
      </c>
      <c r="G58" s="8" t="s">
        <v>157</v>
      </c>
      <c r="H58" s="8" t="s">
        <v>158</v>
      </c>
      <c r="I58" s="8"/>
      <c r="J58" s="8"/>
      <c r="K58" s="8"/>
    </row>
    <row r="59" spans="1:11" ht="27.6" x14ac:dyDescent="0.3">
      <c r="A59" s="5"/>
      <c r="B59" s="5"/>
      <c r="C59" s="5"/>
      <c r="D59" s="5"/>
      <c r="E59" s="5"/>
      <c r="F59" s="7">
        <v>3</v>
      </c>
      <c r="G59" s="8" t="s">
        <v>159</v>
      </c>
      <c r="H59" s="8" t="s">
        <v>160</v>
      </c>
      <c r="I59" s="8"/>
      <c r="J59" s="8"/>
      <c r="K59" s="8"/>
    </row>
    <row r="60" spans="1:11" ht="27.6" x14ac:dyDescent="0.3">
      <c r="A60" s="5"/>
      <c r="B60" s="5"/>
      <c r="C60" s="5"/>
      <c r="D60" s="5"/>
      <c r="E60" s="5"/>
      <c r="F60" s="7">
        <v>4</v>
      </c>
      <c r="G60" s="8" t="s">
        <v>161</v>
      </c>
      <c r="H60" s="8" t="s">
        <v>162</v>
      </c>
      <c r="I60" s="8"/>
      <c r="J60" s="8"/>
      <c r="K60" s="8"/>
    </row>
    <row r="61" spans="1:11" ht="27.6" x14ac:dyDescent="0.3">
      <c r="A61" s="5"/>
      <c r="B61" s="5"/>
      <c r="C61" s="5"/>
      <c r="D61" s="5"/>
      <c r="E61" s="5"/>
      <c r="F61" s="7">
        <v>5</v>
      </c>
      <c r="G61" s="8" t="s">
        <v>163</v>
      </c>
      <c r="H61" s="8" t="s">
        <v>164</v>
      </c>
      <c r="I61" s="8"/>
      <c r="J61" s="8"/>
      <c r="K61" s="8"/>
    </row>
    <row r="62" spans="1:11" ht="23.85" customHeight="1" x14ac:dyDescent="0.3">
      <c r="A62" s="5" t="s">
        <v>165</v>
      </c>
      <c r="B62" s="4" t="s">
        <v>166</v>
      </c>
      <c r="C62" s="4" t="s">
        <v>167</v>
      </c>
      <c r="D62" s="2" t="s">
        <v>73</v>
      </c>
      <c r="E62" s="4" t="s">
        <v>168</v>
      </c>
      <c r="F62" s="7">
        <v>1</v>
      </c>
      <c r="G62" s="8" t="s">
        <v>169</v>
      </c>
      <c r="H62" s="8" t="s">
        <v>170</v>
      </c>
      <c r="I62" s="8"/>
      <c r="J62" s="8"/>
      <c r="K62" s="8"/>
    </row>
    <row r="63" spans="1:11" ht="27.6" x14ac:dyDescent="0.3">
      <c r="A63" s="5"/>
      <c r="B63" s="5"/>
      <c r="C63" s="5"/>
      <c r="D63" s="5"/>
      <c r="E63" s="5"/>
      <c r="F63" s="7">
        <v>2</v>
      </c>
      <c r="G63" s="8" t="s">
        <v>171</v>
      </c>
      <c r="H63" s="8" t="s">
        <v>172</v>
      </c>
      <c r="I63" s="8"/>
      <c r="J63" s="8"/>
      <c r="K63" s="8"/>
    </row>
    <row r="64" spans="1:11" ht="27.6" x14ac:dyDescent="0.3">
      <c r="A64" s="5"/>
      <c r="B64" s="5"/>
      <c r="C64" s="5"/>
      <c r="D64" s="5"/>
      <c r="E64" s="5"/>
      <c r="F64" s="7">
        <v>3</v>
      </c>
      <c r="G64" s="8" t="s">
        <v>173</v>
      </c>
      <c r="H64" s="8" t="s">
        <v>174</v>
      </c>
      <c r="I64" s="8"/>
      <c r="J64" s="8"/>
      <c r="K64" s="8"/>
    </row>
    <row r="65" spans="1:11" ht="27.6" x14ac:dyDescent="0.3">
      <c r="A65" s="5"/>
      <c r="B65" s="5"/>
      <c r="C65" s="5"/>
      <c r="D65" s="5"/>
      <c r="E65" s="5"/>
      <c r="F65" s="7">
        <v>4</v>
      </c>
      <c r="G65" s="8" t="s">
        <v>175</v>
      </c>
      <c r="H65" s="8" t="s">
        <v>176</v>
      </c>
      <c r="I65" s="8"/>
      <c r="J65" s="8"/>
      <c r="K65" s="8"/>
    </row>
    <row r="66" spans="1:11" ht="27.6" x14ac:dyDescent="0.3">
      <c r="A66" s="5"/>
      <c r="B66" s="5"/>
      <c r="C66" s="5"/>
      <c r="D66" s="5"/>
      <c r="E66" s="5"/>
      <c r="F66" s="7">
        <v>5</v>
      </c>
      <c r="G66" s="8" t="s">
        <v>177</v>
      </c>
      <c r="H66" s="8" t="s">
        <v>178</v>
      </c>
      <c r="I66" s="8"/>
      <c r="J66" s="8"/>
      <c r="K66" s="8"/>
    </row>
    <row r="67" spans="1:11" ht="23.85" customHeight="1" x14ac:dyDescent="0.3">
      <c r="A67" s="5" t="s">
        <v>179</v>
      </c>
      <c r="B67" s="4" t="s">
        <v>180</v>
      </c>
      <c r="C67" s="4" t="s">
        <v>181</v>
      </c>
      <c r="D67" s="3" t="s">
        <v>14</v>
      </c>
      <c r="E67" s="4" t="s">
        <v>182</v>
      </c>
      <c r="F67" s="7">
        <v>1</v>
      </c>
      <c r="G67" s="8" t="s">
        <v>183</v>
      </c>
      <c r="H67" s="8" t="s">
        <v>184</v>
      </c>
      <c r="I67" s="8"/>
      <c r="J67" s="8"/>
      <c r="K67" s="8"/>
    </row>
    <row r="68" spans="1:11" ht="27.6" x14ac:dyDescent="0.3">
      <c r="A68" s="5"/>
      <c r="B68" s="5"/>
      <c r="C68" s="5"/>
      <c r="D68" s="5"/>
      <c r="E68" s="5"/>
      <c r="F68" s="7">
        <v>2</v>
      </c>
      <c r="G68" s="8" t="s">
        <v>41</v>
      </c>
      <c r="H68" s="8" t="s">
        <v>185</v>
      </c>
      <c r="I68" s="8"/>
      <c r="J68" s="8"/>
      <c r="K68" s="8"/>
    </row>
    <row r="69" spans="1:11" ht="27.6" x14ac:dyDescent="0.3">
      <c r="A69" s="5"/>
      <c r="B69" s="5"/>
      <c r="C69" s="5"/>
      <c r="D69" s="5"/>
      <c r="E69" s="5"/>
      <c r="F69" s="7">
        <v>3</v>
      </c>
      <c r="G69" s="8" t="s">
        <v>186</v>
      </c>
      <c r="H69" s="8" t="s">
        <v>187</v>
      </c>
      <c r="I69" s="8"/>
      <c r="J69" s="8"/>
      <c r="K69" s="8"/>
    </row>
    <row r="70" spans="1:11" ht="27.6" x14ac:dyDescent="0.3">
      <c r="A70" s="5"/>
      <c r="B70" s="5"/>
      <c r="C70" s="5"/>
      <c r="D70" s="5"/>
      <c r="E70" s="5"/>
      <c r="F70" s="7">
        <v>4</v>
      </c>
      <c r="G70" s="8" t="s">
        <v>188</v>
      </c>
      <c r="H70" s="8" t="s">
        <v>189</v>
      </c>
      <c r="I70" s="8"/>
      <c r="J70" s="8"/>
      <c r="K70" s="8"/>
    </row>
    <row r="71" spans="1:11" ht="23.85" customHeight="1" x14ac:dyDescent="0.3">
      <c r="A71" s="5" t="s">
        <v>190</v>
      </c>
      <c r="B71" s="4" t="s">
        <v>191</v>
      </c>
      <c r="C71" s="4" t="s">
        <v>192</v>
      </c>
      <c r="D71" s="2" t="s">
        <v>73</v>
      </c>
      <c r="E71" s="4" t="s">
        <v>193</v>
      </c>
      <c r="F71" s="7">
        <v>1</v>
      </c>
      <c r="G71" s="8" t="s">
        <v>194</v>
      </c>
      <c r="H71" s="8" t="s">
        <v>195</v>
      </c>
      <c r="I71" s="8"/>
      <c r="J71" s="8"/>
      <c r="K71" s="8"/>
    </row>
    <row r="72" spans="1:11" ht="55.2" x14ac:dyDescent="0.3">
      <c r="A72" s="5"/>
      <c r="B72" s="5"/>
      <c r="C72" s="5"/>
      <c r="D72" s="5"/>
      <c r="E72" s="5"/>
      <c r="F72" s="7">
        <v>2</v>
      </c>
      <c r="G72" s="8" t="s">
        <v>196</v>
      </c>
      <c r="H72" s="8" t="s">
        <v>197</v>
      </c>
      <c r="I72" s="8"/>
      <c r="J72" s="8"/>
      <c r="K72" s="8"/>
    </row>
    <row r="73" spans="1:11" ht="27.6" x14ac:dyDescent="0.3">
      <c r="A73" s="5"/>
      <c r="B73" s="5"/>
      <c r="C73" s="5"/>
      <c r="D73" s="5"/>
      <c r="E73" s="5"/>
      <c r="F73" s="7">
        <v>3</v>
      </c>
      <c r="G73" s="8" t="s">
        <v>198</v>
      </c>
      <c r="H73" s="8" t="s">
        <v>199</v>
      </c>
      <c r="I73" s="8"/>
      <c r="J73" s="8"/>
      <c r="K73" s="8"/>
    </row>
    <row r="74" spans="1:11" ht="27.6" x14ac:dyDescent="0.3">
      <c r="A74" s="5"/>
      <c r="B74" s="5"/>
      <c r="C74" s="5"/>
      <c r="D74" s="5"/>
      <c r="E74" s="5"/>
      <c r="F74" s="7">
        <v>4</v>
      </c>
      <c r="G74" s="8" t="s">
        <v>200</v>
      </c>
      <c r="H74" s="8" t="s">
        <v>201</v>
      </c>
      <c r="I74" s="8"/>
      <c r="J74" s="8"/>
      <c r="K74" s="8"/>
    </row>
    <row r="75" spans="1:11" ht="23.85" customHeight="1" x14ac:dyDescent="0.3">
      <c r="A75" s="5" t="s">
        <v>202</v>
      </c>
      <c r="B75" s="4" t="s">
        <v>203</v>
      </c>
      <c r="C75" s="4" t="s">
        <v>204</v>
      </c>
      <c r="D75" s="3" t="s">
        <v>14</v>
      </c>
      <c r="E75" s="4" t="s">
        <v>205</v>
      </c>
      <c r="F75" s="7">
        <v>1</v>
      </c>
      <c r="G75" s="8" t="s">
        <v>206</v>
      </c>
      <c r="H75" s="8" t="s">
        <v>207</v>
      </c>
      <c r="I75" s="8"/>
      <c r="J75" s="8"/>
      <c r="K75" s="8"/>
    </row>
    <row r="76" spans="1:11" ht="55.2" x14ac:dyDescent="0.3">
      <c r="A76" s="5"/>
      <c r="B76" s="5"/>
      <c r="C76" s="5"/>
      <c r="D76" s="5"/>
      <c r="E76" s="5"/>
      <c r="F76" s="7">
        <v>2</v>
      </c>
      <c r="G76" s="8" t="s">
        <v>208</v>
      </c>
      <c r="H76" s="8" t="s">
        <v>209</v>
      </c>
      <c r="I76" s="8"/>
      <c r="J76" s="8"/>
      <c r="K76" s="8"/>
    </row>
    <row r="77" spans="1:11" ht="27.6" x14ac:dyDescent="0.3">
      <c r="A77" s="5"/>
      <c r="B77" s="5"/>
      <c r="C77" s="5"/>
      <c r="D77" s="5"/>
      <c r="E77" s="5"/>
      <c r="F77" s="7">
        <v>3</v>
      </c>
      <c r="G77" s="8" t="s">
        <v>210</v>
      </c>
      <c r="H77" s="8" t="s">
        <v>211</v>
      </c>
      <c r="I77" s="8"/>
      <c r="J77" s="8"/>
      <c r="K77" s="8"/>
    </row>
    <row r="78" spans="1:11" ht="41.4" x14ac:dyDescent="0.3">
      <c r="A78" s="5"/>
      <c r="B78" s="5"/>
      <c r="C78" s="5"/>
      <c r="D78" s="5"/>
      <c r="E78" s="5"/>
      <c r="F78" s="7">
        <v>4</v>
      </c>
      <c r="G78" s="8" t="s">
        <v>212</v>
      </c>
      <c r="H78" s="8" t="s">
        <v>213</v>
      </c>
      <c r="I78" s="8"/>
      <c r="J78" s="8"/>
      <c r="K78" s="8"/>
    </row>
    <row r="79" spans="1:11" ht="35.1" customHeight="1" x14ac:dyDescent="0.3">
      <c r="A79" s="5" t="s">
        <v>214</v>
      </c>
      <c r="B79" s="4" t="s">
        <v>215</v>
      </c>
      <c r="C79" s="4" t="s">
        <v>216</v>
      </c>
      <c r="D79" s="2" t="s">
        <v>73</v>
      </c>
      <c r="E79" s="4" t="s">
        <v>217</v>
      </c>
      <c r="F79" s="7">
        <v>1</v>
      </c>
      <c r="G79" s="8" t="s">
        <v>218</v>
      </c>
      <c r="H79" s="8" t="s">
        <v>219</v>
      </c>
      <c r="I79" s="8"/>
      <c r="J79" s="8"/>
      <c r="K79" s="8"/>
    </row>
    <row r="80" spans="1:11" ht="27.6" x14ac:dyDescent="0.3">
      <c r="A80" s="5"/>
      <c r="B80" s="5"/>
      <c r="C80" s="5"/>
      <c r="D80" s="5"/>
      <c r="E80" s="5"/>
      <c r="F80" s="7">
        <v>2</v>
      </c>
      <c r="G80" s="8" t="s">
        <v>220</v>
      </c>
      <c r="H80" s="8" t="s">
        <v>221</v>
      </c>
      <c r="I80" s="8"/>
      <c r="J80" s="8"/>
      <c r="K80" s="8"/>
    </row>
    <row r="81" spans="1:11" ht="55.2" x14ac:dyDescent="0.3">
      <c r="A81" s="5"/>
      <c r="B81" s="5"/>
      <c r="C81" s="5"/>
      <c r="D81" s="5"/>
      <c r="E81" s="5"/>
      <c r="F81" s="7">
        <v>3</v>
      </c>
      <c r="G81" s="8" t="s">
        <v>222</v>
      </c>
      <c r="H81" s="8" t="s">
        <v>223</v>
      </c>
      <c r="I81" s="8"/>
      <c r="J81" s="8"/>
      <c r="K81" s="8"/>
    </row>
    <row r="82" spans="1:11" ht="27.6" x14ac:dyDescent="0.3">
      <c r="A82" s="5"/>
      <c r="B82" s="5"/>
      <c r="C82" s="5"/>
      <c r="D82" s="5"/>
      <c r="E82" s="5"/>
      <c r="F82" s="7">
        <v>4</v>
      </c>
      <c r="G82" s="8" t="s">
        <v>224</v>
      </c>
      <c r="H82" s="8" t="s">
        <v>225</v>
      </c>
      <c r="I82" s="8"/>
      <c r="J82" s="8"/>
      <c r="K82" s="8"/>
    </row>
    <row r="83" spans="1:11" ht="23.85" customHeight="1" x14ac:dyDescent="0.3">
      <c r="A83" s="5" t="s">
        <v>226</v>
      </c>
      <c r="B83" s="4" t="s">
        <v>227</v>
      </c>
      <c r="C83" s="4" t="s">
        <v>228</v>
      </c>
      <c r="D83" s="1" t="s">
        <v>153</v>
      </c>
      <c r="E83" s="4" t="s">
        <v>229</v>
      </c>
      <c r="F83" s="7">
        <v>1</v>
      </c>
      <c r="G83" s="8" t="s">
        <v>230</v>
      </c>
      <c r="H83" s="8" t="s">
        <v>231</v>
      </c>
      <c r="I83" s="8"/>
      <c r="J83" s="8"/>
      <c r="K83" s="8"/>
    </row>
    <row r="84" spans="1:11" ht="27.6" x14ac:dyDescent="0.3">
      <c r="A84" s="5"/>
      <c r="B84" s="5"/>
      <c r="C84" s="5"/>
      <c r="D84" s="5"/>
      <c r="E84" s="5"/>
      <c r="F84" s="7">
        <v>2</v>
      </c>
      <c r="G84" s="8" t="s">
        <v>232</v>
      </c>
      <c r="H84" s="8" t="s">
        <v>233</v>
      </c>
      <c r="I84" s="8"/>
      <c r="J84" s="8"/>
      <c r="K84" s="8"/>
    </row>
    <row r="85" spans="1:11" ht="27.6" x14ac:dyDescent="0.3">
      <c r="A85" s="5"/>
      <c r="B85" s="5"/>
      <c r="C85" s="5"/>
      <c r="D85" s="5"/>
      <c r="E85" s="5"/>
      <c r="F85" s="7">
        <v>3</v>
      </c>
      <c r="G85" s="8" t="s">
        <v>234</v>
      </c>
      <c r="H85" s="8" t="s">
        <v>235</v>
      </c>
      <c r="I85" s="8"/>
      <c r="J85" s="8"/>
      <c r="K85" s="8"/>
    </row>
    <row r="86" spans="1:11" ht="41.4" x14ac:dyDescent="0.3">
      <c r="A86" s="5"/>
      <c r="B86" s="5"/>
      <c r="C86" s="5"/>
      <c r="D86" s="5"/>
      <c r="E86" s="5"/>
      <c r="F86" s="7">
        <v>4</v>
      </c>
      <c r="G86" s="8" t="s">
        <v>236</v>
      </c>
      <c r="H86" s="8" t="s">
        <v>237</v>
      </c>
      <c r="I86" s="8"/>
      <c r="J86" s="8"/>
      <c r="K86" s="8"/>
    </row>
  </sheetData>
  <autoFilter ref="A1:K86" xr:uid="{00000000-0009-0000-0000-000000000000}"/>
  <mergeCells count="80">
    <mergeCell ref="A83:A86"/>
    <mergeCell ref="B83:B86"/>
    <mergeCell ref="C83:C86"/>
    <mergeCell ref="D83:D86"/>
    <mergeCell ref="E83:E86"/>
    <mergeCell ref="A79:A82"/>
    <mergeCell ref="B79:B82"/>
    <mergeCell ref="C79:C82"/>
    <mergeCell ref="D79:D82"/>
    <mergeCell ref="E79:E82"/>
    <mergeCell ref="A75:A78"/>
    <mergeCell ref="B75:B78"/>
    <mergeCell ref="C75:C78"/>
    <mergeCell ref="D75:D78"/>
    <mergeCell ref="E75:E78"/>
    <mergeCell ref="A71:A74"/>
    <mergeCell ref="B71:B74"/>
    <mergeCell ref="C71:C74"/>
    <mergeCell ref="D71:D74"/>
    <mergeCell ref="E71:E74"/>
    <mergeCell ref="A67:A70"/>
    <mergeCell ref="B67:B70"/>
    <mergeCell ref="C67:C70"/>
    <mergeCell ref="D67:D70"/>
    <mergeCell ref="E67:E70"/>
    <mergeCell ref="A62:A66"/>
    <mergeCell ref="B62:B66"/>
    <mergeCell ref="C62:C66"/>
    <mergeCell ref="D62:D66"/>
    <mergeCell ref="E62:E66"/>
    <mergeCell ref="A57:A61"/>
    <mergeCell ref="B57:B61"/>
    <mergeCell ref="C57:C61"/>
    <mergeCell ref="D57:D61"/>
    <mergeCell ref="E57:E61"/>
    <mergeCell ref="A53:A56"/>
    <mergeCell ref="B53:B56"/>
    <mergeCell ref="C53:C56"/>
    <mergeCell ref="D53:D56"/>
    <mergeCell ref="E53:E56"/>
    <mergeCell ref="A48:A52"/>
    <mergeCell ref="B48:B52"/>
    <mergeCell ref="C48:C52"/>
    <mergeCell ref="D48:D52"/>
    <mergeCell ref="E48:E52"/>
    <mergeCell ref="A41:A47"/>
    <mergeCell ref="B41:B47"/>
    <mergeCell ref="C41:C47"/>
    <mergeCell ref="D41:D47"/>
    <mergeCell ref="E41:E47"/>
    <mergeCell ref="A36:A40"/>
    <mergeCell ref="B36:B40"/>
    <mergeCell ref="C36:C40"/>
    <mergeCell ref="D36:D40"/>
    <mergeCell ref="E36:E40"/>
    <mergeCell ref="A31:A35"/>
    <mergeCell ref="B31:B35"/>
    <mergeCell ref="C31:C35"/>
    <mergeCell ref="D31:D35"/>
    <mergeCell ref="E31:E35"/>
    <mergeCell ref="A26:A30"/>
    <mergeCell ref="B26:B30"/>
    <mergeCell ref="C26:C30"/>
    <mergeCell ref="D26:D30"/>
    <mergeCell ref="E26:E30"/>
    <mergeCell ref="A20:A25"/>
    <mergeCell ref="B20:B25"/>
    <mergeCell ref="C20:C25"/>
    <mergeCell ref="D20:D25"/>
    <mergeCell ref="E20:E25"/>
    <mergeCell ref="A11:A19"/>
    <mergeCell ref="B11:B19"/>
    <mergeCell ref="C11:C19"/>
    <mergeCell ref="D11:D19"/>
    <mergeCell ref="E11:E19"/>
    <mergeCell ref="A2:A10"/>
    <mergeCell ref="B2:B10"/>
    <mergeCell ref="C2:C10"/>
    <mergeCell ref="D2:D10"/>
    <mergeCell ref="E2:E10"/>
  </mergeCells>
  <dataValidations count="1">
    <dataValidation type="list" allowBlank="1" sqref="I2:I86" xr:uid="{00000000-0002-0000-0000-000000000000}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4" customWidth="1"/>
    <col min="3" max="3" width="9" customWidth="1"/>
    <col min="4" max="4" width="34" customWidth="1"/>
    <col min="5" max="5" width="40" customWidth="1"/>
    <col min="6" max="6" width="11" customWidth="1"/>
    <col min="7" max="8" width="14" customWidth="1"/>
  </cols>
  <sheetData>
    <row r="1" spans="1:8" ht="27.75" customHeight="1" x14ac:dyDescent="0.3">
      <c r="A1" s="6" t="s">
        <v>0</v>
      </c>
      <c r="B1" s="6" t="s">
        <v>1</v>
      </c>
      <c r="C1" s="6" t="s">
        <v>3</v>
      </c>
      <c r="D1" s="6" t="s">
        <v>2</v>
      </c>
      <c r="E1" s="6" t="s">
        <v>238</v>
      </c>
      <c r="F1" s="6" t="s">
        <v>239</v>
      </c>
      <c r="G1" s="6" t="s">
        <v>240</v>
      </c>
      <c r="H1" s="6" t="s">
        <v>241</v>
      </c>
    </row>
    <row r="2" spans="1:8" ht="55.2" x14ac:dyDescent="0.3">
      <c r="A2" s="8" t="s">
        <v>11</v>
      </c>
      <c r="B2" s="8" t="s">
        <v>12</v>
      </c>
      <c r="C2" s="9" t="s">
        <v>14</v>
      </c>
      <c r="D2" s="8" t="s">
        <v>13</v>
      </c>
      <c r="E2" s="8" t="s">
        <v>242</v>
      </c>
      <c r="F2" s="8"/>
      <c r="G2" s="8"/>
      <c r="H2" s="8"/>
    </row>
    <row r="3" spans="1:8" ht="55.2" x14ac:dyDescent="0.3">
      <c r="A3" s="8" t="s">
        <v>33</v>
      </c>
      <c r="B3" s="8" t="s">
        <v>34</v>
      </c>
      <c r="C3" s="9" t="s">
        <v>14</v>
      </c>
      <c r="D3" s="8" t="s">
        <v>35</v>
      </c>
      <c r="E3" s="8" t="s">
        <v>243</v>
      </c>
      <c r="F3" s="8"/>
      <c r="G3" s="8"/>
      <c r="H3" s="8"/>
    </row>
    <row r="4" spans="1:8" ht="69" x14ac:dyDescent="0.3">
      <c r="A4" s="8" t="s">
        <v>55</v>
      </c>
      <c r="B4" s="8" t="s">
        <v>56</v>
      </c>
      <c r="C4" s="9" t="s">
        <v>14</v>
      </c>
      <c r="D4" s="8" t="s">
        <v>57</v>
      </c>
      <c r="E4" s="8" t="s">
        <v>244</v>
      </c>
      <c r="F4" s="8"/>
      <c r="G4" s="8"/>
      <c r="H4" s="8"/>
    </row>
    <row r="5" spans="1:8" ht="55.2" x14ac:dyDescent="0.3">
      <c r="A5" s="8" t="s">
        <v>70</v>
      </c>
      <c r="B5" s="8" t="s">
        <v>71</v>
      </c>
      <c r="C5" s="10" t="s">
        <v>73</v>
      </c>
      <c r="D5" s="8" t="s">
        <v>72</v>
      </c>
      <c r="E5" s="8" t="s">
        <v>245</v>
      </c>
      <c r="F5" s="8"/>
      <c r="G5" s="8"/>
      <c r="H5" s="8"/>
    </row>
    <row r="6" spans="1:8" ht="55.2" x14ac:dyDescent="0.3">
      <c r="A6" s="8" t="s">
        <v>84</v>
      </c>
      <c r="B6" s="8" t="s">
        <v>85</v>
      </c>
      <c r="C6" s="9" t="s">
        <v>14</v>
      </c>
      <c r="D6" s="8" t="s">
        <v>86</v>
      </c>
      <c r="E6" s="8" t="s">
        <v>246</v>
      </c>
      <c r="F6" s="8"/>
      <c r="G6" s="8"/>
      <c r="H6" s="8"/>
    </row>
    <row r="7" spans="1:8" ht="41.4" x14ac:dyDescent="0.3">
      <c r="A7" s="8" t="s">
        <v>96</v>
      </c>
      <c r="B7" s="8" t="s">
        <v>97</v>
      </c>
      <c r="C7" s="10" t="s">
        <v>73</v>
      </c>
      <c r="D7" s="8" t="s">
        <v>98</v>
      </c>
      <c r="E7" s="8" t="s">
        <v>247</v>
      </c>
      <c r="F7" s="8"/>
      <c r="G7" s="8"/>
      <c r="H7" s="8"/>
    </row>
    <row r="8" spans="1:8" ht="41.4" x14ac:dyDescent="0.3">
      <c r="A8" s="8" t="s">
        <v>110</v>
      </c>
      <c r="B8" s="8" t="s">
        <v>111</v>
      </c>
      <c r="C8" s="9" t="s">
        <v>14</v>
      </c>
      <c r="D8" s="8" t="s">
        <v>112</v>
      </c>
      <c r="E8" s="8" t="s">
        <v>248</v>
      </c>
      <c r="F8" s="8"/>
      <c r="G8" s="8"/>
      <c r="H8" s="8"/>
    </row>
    <row r="9" spans="1:8" ht="55.2" x14ac:dyDescent="0.3">
      <c r="A9" s="8" t="s">
        <v>127</v>
      </c>
      <c r="B9" s="8" t="s">
        <v>128</v>
      </c>
      <c r="C9" s="9" t="s">
        <v>14</v>
      </c>
      <c r="D9" s="8" t="s">
        <v>129</v>
      </c>
      <c r="E9" s="8" t="s">
        <v>249</v>
      </c>
      <c r="F9" s="8"/>
      <c r="G9" s="8"/>
      <c r="H9" s="8"/>
    </row>
    <row r="10" spans="1:8" ht="55.2" x14ac:dyDescent="0.3">
      <c r="A10" s="8" t="s">
        <v>138</v>
      </c>
      <c r="B10" s="8" t="s">
        <v>139</v>
      </c>
      <c r="C10" s="9" t="s">
        <v>14</v>
      </c>
      <c r="D10" s="8" t="s">
        <v>140</v>
      </c>
      <c r="E10" s="8" t="s">
        <v>250</v>
      </c>
      <c r="F10" s="8"/>
      <c r="G10" s="8"/>
      <c r="H10" s="8"/>
    </row>
    <row r="11" spans="1:8" ht="41.4" x14ac:dyDescent="0.3">
      <c r="A11" s="8" t="s">
        <v>150</v>
      </c>
      <c r="B11" s="8" t="s">
        <v>151</v>
      </c>
      <c r="C11" s="11" t="s">
        <v>153</v>
      </c>
      <c r="D11" s="8" t="s">
        <v>152</v>
      </c>
      <c r="E11" s="8" t="s">
        <v>251</v>
      </c>
      <c r="F11" s="8"/>
      <c r="G11" s="8"/>
      <c r="H11" s="8"/>
    </row>
    <row r="12" spans="1:8" ht="41.4" x14ac:dyDescent="0.3">
      <c r="A12" s="8" t="s">
        <v>165</v>
      </c>
      <c r="B12" s="8" t="s">
        <v>166</v>
      </c>
      <c r="C12" s="10" t="s">
        <v>73</v>
      </c>
      <c r="D12" s="8" t="s">
        <v>167</v>
      </c>
      <c r="E12" s="8" t="s">
        <v>252</v>
      </c>
      <c r="F12" s="8"/>
      <c r="G12" s="8"/>
      <c r="H12" s="8"/>
    </row>
    <row r="13" spans="1:8" ht="55.2" x14ac:dyDescent="0.3">
      <c r="A13" s="8" t="s">
        <v>179</v>
      </c>
      <c r="B13" s="8" t="s">
        <v>180</v>
      </c>
      <c r="C13" s="9" t="s">
        <v>14</v>
      </c>
      <c r="D13" s="8" t="s">
        <v>181</v>
      </c>
      <c r="E13" s="8" t="s">
        <v>253</v>
      </c>
      <c r="F13" s="8"/>
      <c r="G13" s="8"/>
      <c r="H13" s="8"/>
    </row>
    <row r="14" spans="1:8" ht="55.2" x14ac:dyDescent="0.3">
      <c r="A14" s="8" t="s">
        <v>190</v>
      </c>
      <c r="B14" s="8" t="s">
        <v>191</v>
      </c>
      <c r="C14" s="10" t="s">
        <v>73</v>
      </c>
      <c r="D14" s="8" t="s">
        <v>192</v>
      </c>
      <c r="E14" s="8" t="s">
        <v>254</v>
      </c>
      <c r="F14" s="8"/>
      <c r="G14" s="8"/>
      <c r="H14" s="8"/>
    </row>
    <row r="15" spans="1:8" ht="69" x14ac:dyDescent="0.3">
      <c r="A15" s="8" t="s">
        <v>202</v>
      </c>
      <c r="B15" s="8" t="s">
        <v>203</v>
      </c>
      <c r="C15" s="9" t="s">
        <v>14</v>
      </c>
      <c r="D15" s="8" t="s">
        <v>204</v>
      </c>
      <c r="E15" s="8" t="s">
        <v>255</v>
      </c>
      <c r="F15" s="8"/>
      <c r="G15" s="8"/>
      <c r="H15" s="8"/>
    </row>
    <row r="16" spans="1:8" ht="55.2" x14ac:dyDescent="0.3">
      <c r="A16" s="8" t="s">
        <v>214</v>
      </c>
      <c r="B16" s="8" t="s">
        <v>215</v>
      </c>
      <c r="C16" s="10" t="s">
        <v>73</v>
      </c>
      <c r="D16" s="8" t="s">
        <v>216</v>
      </c>
      <c r="E16" s="8" t="s">
        <v>256</v>
      </c>
      <c r="F16" s="8"/>
      <c r="G16" s="8"/>
      <c r="H16" s="8"/>
    </row>
    <row r="17" spans="1:8" ht="55.2" x14ac:dyDescent="0.3">
      <c r="A17" s="8" t="s">
        <v>226</v>
      </c>
      <c r="B17" s="8" t="s">
        <v>227</v>
      </c>
      <c r="C17" s="11" t="s">
        <v>153</v>
      </c>
      <c r="D17" s="8" t="s">
        <v>228</v>
      </c>
      <c r="E17" s="8" t="s">
        <v>257</v>
      </c>
      <c r="F17" s="8"/>
      <c r="G17" s="8"/>
      <c r="H17" s="8"/>
    </row>
    <row r="20" spans="1:8" ht="15.6" x14ac:dyDescent="0.3">
      <c r="A20" s="12" t="s">
        <v>258</v>
      </c>
    </row>
    <row r="21" spans="1:8" x14ac:dyDescent="0.3">
      <c r="A21" s="13" t="s">
        <v>259</v>
      </c>
      <c r="B21" s="14">
        <f>COUNTA(A2:A17)</f>
        <v>16</v>
      </c>
    </row>
    <row r="22" spans="1:8" x14ac:dyDescent="0.3">
      <c r="A22" s="13" t="s">
        <v>260</v>
      </c>
      <c r="B22" s="14">
        <f>COUNTIF(F2:F17,"Pass")</f>
        <v>0</v>
      </c>
    </row>
    <row r="23" spans="1:8" x14ac:dyDescent="0.3">
      <c r="A23" s="13" t="s">
        <v>261</v>
      </c>
      <c r="B23" s="14">
        <f>COUNTIF(F2:F17,"Fail")</f>
        <v>0</v>
      </c>
    </row>
    <row r="24" spans="1:8" x14ac:dyDescent="0.3">
      <c r="A24" s="13" t="s">
        <v>262</v>
      </c>
      <c r="B24" s="14">
        <f>COUNTIF(F2:F17,"Blocked")</f>
        <v>0</v>
      </c>
    </row>
    <row r="25" spans="1:8" x14ac:dyDescent="0.3">
      <c r="A25" s="13" t="s">
        <v>263</v>
      </c>
      <c r="B25" s="14">
        <f>COUNTA(A2:A17)-COUNTIF(F2:F17,"Pass")-COUNTIF(F2:F17,"Fail")-COUNTIF(F2:F17,"Blocked")</f>
        <v>16</v>
      </c>
    </row>
    <row r="26" spans="1:8" x14ac:dyDescent="0.3">
      <c r="A26" s="13" t="s">
        <v>264</v>
      </c>
      <c r="B26" s="15">
        <f>IFERROR(COUNTIF(F2:F17,"Pass")/COUNTA(A2:A17),0)</f>
        <v>0</v>
      </c>
    </row>
  </sheetData>
  <autoFilter ref="A1:H17" xr:uid="{00000000-0009-0000-0000-000001000000}"/>
  <dataValidations count="1">
    <dataValidation type="list" allowBlank="1" sqref="F2:F17" xr:uid="{00000000-0002-0000-0100-000000000000}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2" customWidth="1"/>
    <col min="2" max="2" width="60" customWidth="1"/>
  </cols>
  <sheetData>
    <row r="1" spans="1:2" x14ac:dyDescent="0.3">
      <c r="A1" s="6" t="s">
        <v>265</v>
      </c>
      <c r="B1" s="6" t="s">
        <v>266</v>
      </c>
    </row>
    <row r="2" spans="1:2" x14ac:dyDescent="0.3">
      <c r="A2" s="8" t="s">
        <v>267</v>
      </c>
      <c r="B2" s="8" t="s">
        <v>268</v>
      </c>
    </row>
    <row r="3" spans="1:2" x14ac:dyDescent="0.3">
      <c r="A3" s="8" t="s">
        <v>269</v>
      </c>
      <c r="B3" s="8" t="s">
        <v>270</v>
      </c>
    </row>
    <row r="4" spans="1:2" x14ac:dyDescent="0.3">
      <c r="A4" s="8" t="s">
        <v>271</v>
      </c>
      <c r="B4" s="8" t="s">
        <v>272</v>
      </c>
    </row>
    <row r="5" spans="1:2" x14ac:dyDescent="0.3">
      <c r="A5" s="8" t="s">
        <v>273</v>
      </c>
      <c r="B5" s="8" t="s">
        <v>274</v>
      </c>
    </row>
    <row r="6" spans="1:2" x14ac:dyDescent="0.3">
      <c r="A6" s="8" t="s">
        <v>275</v>
      </c>
      <c r="B6" s="8" t="s">
        <v>276</v>
      </c>
    </row>
    <row r="7" spans="1:2" x14ac:dyDescent="0.3">
      <c r="A7" s="8" t="s">
        <v>277</v>
      </c>
      <c r="B7" s="8" t="s">
        <v>278</v>
      </c>
    </row>
    <row r="8" spans="1:2" x14ac:dyDescent="0.3">
      <c r="A8" s="8" t="s">
        <v>279</v>
      </c>
      <c r="B8" s="8">
        <v>9007</v>
      </c>
    </row>
    <row r="9" spans="1:2" x14ac:dyDescent="0.3">
      <c r="A9" s="8" t="s">
        <v>280</v>
      </c>
      <c r="B9" s="8">
        <v>9017</v>
      </c>
    </row>
    <row r="10" spans="1:2" x14ac:dyDescent="0.3">
      <c r="A10" s="8" t="s">
        <v>281</v>
      </c>
      <c r="B10" s="8">
        <v>9008</v>
      </c>
    </row>
    <row r="11" spans="1:2" ht="27.6" x14ac:dyDescent="0.3">
      <c r="A11" s="8" t="s">
        <v>282</v>
      </c>
      <c r="B11" s="8">
        <v>9018</v>
      </c>
    </row>
    <row r="12" spans="1:2" x14ac:dyDescent="0.3">
      <c r="A12" s="8" t="s">
        <v>283</v>
      </c>
      <c r="B12" s="8">
        <v>8085</v>
      </c>
    </row>
    <row r="13" spans="1:2" x14ac:dyDescent="0.3">
      <c r="A13" s="8" t="s">
        <v>284</v>
      </c>
      <c r="B13" s="8">
        <v>8185</v>
      </c>
    </row>
    <row r="14" spans="1:2" x14ac:dyDescent="0.3">
      <c r="A14" s="8" t="s">
        <v>285</v>
      </c>
      <c r="B14" s="8" t="s">
        <v>286</v>
      </c>
    </row>
    <row r="15" spans="1:2" x14ac:dyDescent="0.3">
      <c r="A15" s="8" t="s">
        <v>287</v>
      </c>
      <c r="B15" s="8" t="s">
        <v>288</v>
      </c>
    </row>
    <row r="16" spans="1:2" x14ac:dyDescent="0.3">
      <c r="A16" s="8" t="s">
        <v>289</v>
      </c>
      <c r="B16" s="8" t="s">
        <v>290</v>
      </c>
    </row>
    <row r="17" spans="1:2" ht="27.6" x14ac:dyDescent="0.3">
      <c r="A17" s="8" t="s">
        <v>291</v>
      </c>
      <c r="B17" s="8" t="s">
        <v>292</v>
      </c>
    </row>
    <row r="18" spans="1:2" x14ac:dyDescent="0.3">
      <c r="A18" s="8" t="s">
        <v>293</v>
      </c>
      <c r="B18" s="8" t="s">
        <v>294</v>
      </c>
    </row>
    <row r="19" spans="1:2" x14ac:dyDescent="0.3">
      <c r="A19" s="8" t="s">
        <v>295</v>
      </c>
      <c r="B19" s="8" t="s">
        <v>296</v>
      </c>
    </row>
    <row r="20" spans="1:2" ht="27.6" x14ac:dyDescent="0.3">
      <c r="A20" s="8" t="s">
        <v>297</v>
      </c>
      <c r="B20" s="8" t="s">
        <v>298</v>
      </c>
    </row>
    <row r="21" spans="1:2" x14ac:dyDescent="0.3">
      <c r="A21" s="8" t="s">
        <v>299</v>
      </c>
      <c r="B21" s="8" t="s">
        <v>300</v>
      </c>
    </row>
    <row r="22" spans="1:2" x14ac:dyDescent="0.3">
      <c r="A22" s="8" t="s">
        <v>301</v>
      </c>
      <c r="B22" s="8" t="s">
        <v>302</v>
      </c>
    </row>
    <row r="23" spans="1:2" x14ac:dyDescent="0.3">
      <c r="A23" s="8" t="s">
        <v>303</v>
      </c>
      <c r="B23" s="8" t="s">
        <v>304</v>
      </c>
    </row>
    <row r="24" spans="1:2" ht="27.6" x14ac:dyDescent="0.3">
      <c r="A24" s="8" t="s">
        <v>305</v>
      </c>
      <c r="B24" s="8" t="s">
        <v>306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zoomScaleNormal="100" workbookViewId="0"/>
  </sheetViews>
  <sheetFormatPr defaultColWidth="8.6640625" defaultRowHeight="14.4" x14ac:dyDescent="0.3"/>
  <cols>
    <col min="1" max="1" width="100" customWidth="1"/>
  </cols>
  <sheetData>
    <row r="1" spans="1:1" ht="17.399999999999999" x14ac:dyDescent="0.35">
      <c r="A1" s="16" t="s">
        <v>307</v>
      </c>
    </row>
    <row r="2" spans="1:1" x14ac:dyDescent="0.3">
      <c r="A2" s="17"/>
    </row>
    <row r="3" spans="1:1" ht="27.6" x14ac:dyDescent="0.3">
      <c r="A3" s="17" t="s">
        <v>308</v>
      </c>
    </row>
    <row r="4" spans="1:1" ht="27.6" x14ac:dyDescent="0.3">
      <c r="A4" s="17" t="s">
        <v>309</v>
      </c>
    </row>
    <row r="5" spans="1:1" ht="27.6" x14ac:dyDescent="0.3">
      <c r="A5" s="17" t="s">
        <v>310</v>
      </c>
    </row>
    <row r="6" spans="1:1" ht="27.6" x14ac:dyDescent="0.3">
      <c r="A6" s="17" t="s">
        <v>311</v>
      </c>
    </row>
    <row r="7" spans="1:1" x14ac:dyDescent="0.3">
      <c r="A7" s="17" t="s">
        <v>312</v>
      </c>
    </row>
    <row r="8" spans="1:1" ht="27.6" x14ac:dyDescent="0.3">
      <c r="A8" s="17" t="s">
        <v>313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 Test Scenarios</vt:lpstr>
      <vt:lpstr>Test Case Summary</vt:lpstr>
      <vt:lpstr>Environment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</cp:lastModifiedBy>
  <cp:revision>0</cp:revision>
  <dcterms:created xsi:type="dcterms:W3CDTF">2026-08-02T05:29:19Z</dcterms:created>
  <dcterms:modified xsi:type="dcterms:W3CDTF">2026-08-02T05:40:15Z</dcterms:modified>
  <dc:language>en-US</dc:language>
</cp:coreProperties>
</file>